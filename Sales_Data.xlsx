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HP\OneDrive\Documents\"/>
    </mc:Choice>
  </mc:AlternateContent>
  <xr:revisionPtr revIDLastSave="0" documentId="8_{AA6E7CA2-CC7F-4C3B-BB2D-EF56D998743D}" xr6:coauthVersionLast="47" xr6:coauthVersionMax="47" xr10:uidLastSave="{00000000-0000-0000-0000-000000000000}"/>
  <bookViews>
    <workbookView xWindow="-110" yWindow="-110" windowWidth="19420" windowHeight="10300" firstSheet="4" activeTab="7" xr2:uid="{00000000-000D-0000-FFFF-FFFF00000000}"/>
  </bookViews>
  <sheets>
    <sheet name="Original Data" sheetId="3" r:id="rId1"/>
    <sheet name="Sales Data" sheetId="1" r:id="rId2"/>
    <sheet name="Detail1" sheetId="10" r:id="rId3"/>
    <sheet name="Detail3" sheetId="12" r:id="rId4"/>
    <sheet name="Sheet4" sheetId="8" r:id="rId5"/>
    <sheet name="Cleaned Data" sheetId="7" r:id="rId6"/>
    <sheet name="Detail2" sheetId="11" r:id="rId7"/>
    <sheet name="Dashboard" sheetId="9" r:id="rId8"/>
    <sheet name="Sheet1" sheetId="13" r:id="rId9"/>
  </sheets>
  <definedNames>
    <definedName name="ExternalData_2" localSheetId="5" hidden="1">'Cleaned Data'!$A$1:$M$181</definedName>
    <definedName name="Slicer_Month">#N/A</definedName>
    <definedName name="Slicer_Product">#N/A</definedName>
    <definedName name="Slicer_Quarter">#N/A</definedName>
    <definedName name="Slicer_Reg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1" l="1"/>
  <c r="Z4" i="1"/>
  <c r="Z5" i="1"/>
  <c r="Z6" i="1"/>
  <c r="Z7" i="1"/>
  <c r="Z8" i="1"/>
  <c r="Z9" i="1"/>
  <c r="Z10" i="1"/>
  <c r="Z11" i="1"/>
  <c r="Z12" i="1"/>
  <c r="Z13" i="1"/>
  <c r="K7"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2" i="1"/>
  <c r="B188" i="1"/>
  <c r="B185" i="1"/>
  <c r="N3" i="1"/>
  <c r="Q3" i="1" s="1"/>
  <c r="N4" i="1"/>
  <c r="Q4" i="1" s="1"/>
  <c r="N5" i="1"/>
  <c r="Q5" i="1" s="1"/>
  <c r="N6" i="1"/>
  <c r="Q6" i="1" s="1"/>
  <c r="N7" i="1"/>
  <c r="Q7" i="1" s="1"/>
  <c r="N8" i="1"/>
  <c r="Q8" i="1" s="1"/>
  <c r="N9" i="1"/>
  <c r="Q9" i="1" s="1"/>
  <c r="N10" i="1"/>
  <c r="Q10" i="1" s="1"/>
  <c r="N11" i="1"/>
  <c r="Q11" i="1" s="1"/>
  <c r="N12" i="1"/>
  <c r="Q12" i="1" s="1"/>
  <c r="N13" i="1"/>
  <c r="Q13" i="1" s="1"/>
  <c r="N14" i="1"/>
  <c r="Q14" i="1" s="1"/>
  <c r="N15" i="1"/>
  <c r="Q15" i="1" s="1"/>
  <c r="N16" i="1"/>
  <c r="Q16" i="1" s="1"/>
  <c r="N17" i="1"/>
  <c r="Q17" i="1" s="1"/>
  <c r="N18" i="1"/>
  <c r="Q18" i="1" s="1"/>
  <c r="N19" i="1"/>
  <c r="Q19" i="1" s="1"/>
  <c r="N20" i="1"/>
  <c r="Q20" i="1" s="1"/>
  <c r="N21" i="1"/>
  <c r="Q21" i="1" s="1"/>
  <c r="N22" i="1"/>
  <c r="Q22" i="1" s="1"/>
  <c r="N23" i="1"/>
  <c r="Q23" i="1" s="1"/>
  <c r="N24" i="1"/>
  <c r="Q24" i="1" s="1"/>
  <c r="N25" i="1"/>
  <c r="Q25" i="1" s="1"/>
  <c r="N26" i="1"/>
  <c r="Q26" i="1" s="1"/>
  <c r="N27" i="1"/>
  <c r="Q27" i="1" s="1"/>
  <c r="N28" i="1"/>
  <c r="Q28" i="1" s="1"/>
  <c r="N29" i="1"/>
  <c r="Q29" i="1" s="1"/>
  <c r="N30" i="1"/>
  <c r="Q30" i="1" s="1"/>
  <c r="N31" i="1"/>
  <c r="Q31" i="1" s="1"/>
  <c r="N32" i="1"/>
  <c r="Q32" i="1" s="1"/>
  <c r="N33" i="1"/>
  <c r="Q33" i="1" s="1"/>
  <c r="N34" i="1"/>
  <c r="Q34" i="1" s="1"/>
  <c r="N35" i="1"/>
  <c r="Q35" i="1" s="1"/>
  <c r="N36" i="1"/>
  <c r="Q36" i="1" s="1"/>
  <c r="N37" i="1"/>
  <c r="Q37" i="1" s="1"/>
  <c r="N38" i="1"/>
  <c r="Q38" i="1" s="1"/>
  <c r="N39" i="1"/>
  <c r="Q39" i="1" s="1"/>
  <c r="N40" i="1"/>
  <c r="Q40" i="1" s="1"/>
  <c r="N41" i="1"/>
  <c r="Q41" i="1" s="1"/>
  <c r="N42" i="1"/>
  <c r="Q42" i="1" s="1"/>
  <c r="N43" i="1"/>
  <c r="Q43" i="1" s="1"/>
  <c r="N44" i="1"/>
  <c r="Q44" i="1" s="1"/>
  <c r="N45" i="1"/>
  <c r="Q45" i="1" s="1"/>
  <c r="N46" i="1"/>
  <c r="Q46" i="1" s="1"/>
  <c r="N47" i="1"/>
  <c r="Q47" i="1" s="1"/>
  <c r="N48" i="1"/>
  <c r="Q48" i="1" s="1"/>
  <c r="N49" i="1"/>
  <c r="Q49" i="1" s="1"/>
  <c r="N50" i="1"/>
  <c r="Q50" i="1" s="1"/>
  <c r="N51" i="1"/>
  <c r="Q51" i="1" s="1"/>
  <c r="N52" i="1"/>
  <c r="Q52" i="1" s="1"/>
  <c r="N53" i="1"/>
  <c r="Q53" i="1" s="1"/>
  <c r="N54" i="1"/>
  <c r="Q54" i="1" s="1"/>
  <c r="N55" i="1"/>
  <c r="Q55" i="1" s="1"/>
  <c r="N56" i="1"/>
  <c r="Q56" i="1" s="1"/>
  <c r="N57" i="1"/>
  <c r="Q57" i="1" s="1"/>
  <c r="N58" i="1"/>
  <c r="Q58" i="1" s="1"/>
  <c r="N59" i="1"/>
  <c r="Q59" i="1" s="1"/>
  <c r="N60" i="1"/>
  <c r="Q60" i="1" s="1"/>
  <c r="N61" i="1"/>
  <c r="Q61" i="1" s="1"/>
  <c r="N62" i="1"/>
  <c r="Q62" i="1" s="1"/>
  <c r="N63" i="1"/>
  <c r="Q63" i="1" s="1"/>
  <c r="N64" i="1"/>
  <c r="Q64" i="1" s="1"/>
  <c r="N65" i="1"/>
  <c r="Q65" i="1" s="1"/>
  <c r="N66" i="1"/>
  <c r="Q66" i="1" s="1"/>
  <c r="N67" i="1"/>
  <c r="Q67" i="1" s="1"/>
  <c r="N68" i="1"/>
  <c r="Q68" i="1" s="1"/>
  <c r="N69" i="1"/>
  <c r="Q69" i="1" s="1"/>
  <c r="N70" i="1"/>
  <c r="Q70" i="1" s="1"/>
  <c r="N71" i="1"/>
  <c r="Q71" i="1" s="1"/>
  <c r="N72" i="1"/>
  <c r="Q72" i="1" s="1"/>
  <c r="N73" i="1"/>
  <c r="Q73" i="1" s="1"/>
  <c r="N74" i="1"/>
  <c r="Q74" i="1" s="1"/>
  <c r="N75" i="1"/>
  <c r="Q75" i="1" s="1"/>
  <c r="N76" i="1"/>
  <c r="Q76" i="1" s="1"/>
  <c r="N77" i="1"/>
  <c r="Q77" i="1" s="1"/>
  <c r="N78" i="1"/>
  <c r="Q78" i="1" s="1"/>
  <c r="N79" i="1"/>
  <c r="Q79" i="1" s="1"/>
  <c r="N80" i="1"/>
  <c r="Q80" i="1" s="1"/>
  <c r="N81" i="1"/>
  <c r="Q81" i="1" s="1"/>
  <c r="N82" i="1"/>
  <c r="Q82" i="1" s="1"/>
  <c r="N83" i="1"/>
  <c r="Q83" i="1" s="1"/>
  <c r="N84" i="1"/>
  <c r="Q84" i="1" s="1"/>
  <c r="N85" i="1"/>
  <c r="Q85" i="1" s="1"/>
  <c r="N86" i="1"/>
  <c r="Q86" i="1" s="1"/>
  <c r="N87" i="1"/>
  <c r="Q87" i="1" s="1"/>
  <c r="N88" i="1"/>
  <c r="Q88" i="1" s="1"/>
  <c r="N89" i="1"/>
  <c r="Q89" i="1" s="1"/>
  <c r="N90" i="1"/>
  <c r="Q90" i="1" s="1"/>
  <c r="N91" i="1"/>
  <c r="Q91" i="1" s="1"/>
  <c r="N92" i="1"/>
  <c r="Q92" i="1" s="1"/>
  <c r="N93" i="1"/>
  <c r="Q93" i="1" s="1"/>
  <c r="N94" i="1"/>
  <c r="Q94" i="1" s="1"/>
  <c r="N95" i="1"/>
  <c r="Q95" i="1" s="1"/>
  <c r="N96" i="1"/>
  <c r="Q96" i="1" s="1"/>
  <c r="N97" i="1"/>
  <c r="Q97" i="1" s="1"/>
  <c r="N98" i="1"/>
  <c r="Q98" i="1" s="1"/>
  <c r="N99" i="1"/>
  <c r="Q99" i="1" s="1"/>
  <c r="N100" i="1"/>
  <c r="Q100" i="1" s="1"/>
  <c r="N101" i="1"/>
  <c r="Q101" i="1" s="1"/>
  <c r="N102" i="1"/>
  <c r="Q102" i="1" s="1"/>
  <c r="N103" i="1"/>
  <c r="Q103" i="1" s="1"/>
  <c r="N104" i="1"/>
  <c r="Q104" i="1" s="1"/>
  <c r="N105" i="1"/>
  <c r="Q105" i="1" s="1"/>
  <c r="N106" i="1"/>
  <c r="Q106" i="1" s="1"/>
  <c r="N107" i="1"/>
  <c r="Q107" i="1" s="1"/>
  <c r="N108" i="1"/>
  <c r="Q108" i="1" s="1"/>
  <c r="N109" i="1"/>
  <c r="Q109" i="1" s="1"/>
  <c r="N110" i="1"/>
  <c r="Q110" i="1" s="1"/>
  <c r="N111" i="1"/>
  <c r="Q111" i="1" s="1"/>
  <c r="N112" i="1"/>
  <c r="Q112" i="1" s="1"/>
  <c r="N113" i="1"/>
  <c r="Q113" i="1" s="1"/>
  <c r="N114" i="1"/>
  <c r="Q114" i="1" s="1"/>
  <c r="N115" i="1"/>
  <c r="Q115" i="1" s="1"/>
  <c r="N116" i="1"/>
  <c r="Q116" i="1" s="1"/>
  <c r="N117" i="1"/>
  <c r="Q117" i="1" s="1"/>
  <c r="N118" i="1"/>
  <c r="Q118" i="1" s="1"/>
  <c r="N119" i="1"/>
  <c r="Q119" i="1" s="1"/>
  <c r="N120" i="1"/>
  <c r="Q120" i="1" s="1"/>
  <c r="N121" i="1"/>
  <c r="Q121" i="1" s="1"/>
  <c r="N122" i="1"/>
  <c r="Q122" i="1" s="1"/>
  <c r="N123" i="1"/>
  <c r="Q123" i="1" s="1"/>
  <c r="N124" i="1"/>
  <c r="Q124" i="1" s="1"/>
  <c r="N125" i="1"/>
  <c r="Q125" i="1" s="1"/>
  <c r="N126" i="1"/>
  <c r="Q126" i="1" s="1"/>
  <c r="N127" i="1"/>
  <c r="Q127" i="1" s="1"/>
  <c r="N128" i="1"/>
  <c r="Q128" i="1" s="1"/>
  <c r="N129" i="1"/>
  <c r="Q129" i="1" s="1"/>
  <c r="N130" i="1"/>
  <c r="Q130" i="1" s="1"/>
  <c r="N131" i="1"/>
  <c r="Q131" i="1" s="1"/>
  <c r="N132" i="1"/>
  <c r="Q132" i="1" s="1"/>
  <c r="N133" i="1"/>
  <c r="Q133" i="1" s="1"/>
  <c r="N134" i="1"/>
  <c r="Q134" i="1" s="1"/>
  <c r="N135" i="1"/>
  <c r="Q135" i="1" s="1"/>
  <c r="N136" i="1"/>
  <c r="Q136" i="1" s="1"/>
  <c r="N137" i="1"/>
  <c r="Q137" i="1" s="1"/>
  <c r="N138" i="1"/>
  <c r="Q138" i="1" s="1"/>
  <c r="N139" i="1"/>
  <c r="Q139" i="1" s="1"/>
  <c r="N140" i="1"/>
  <c r="Q140" i="1" s="1"/>
  <c r="N141" i="1"/>
  <c r="Q141" i="1" s="1"/>
  <c r="N142" i="1"/>
  <c r="Q142" i="1" s="1"/>
  <c r="N143" i="1"/>
  <c r="Q143" i="1" s="1"/>
  <c r="N144" i="1"/>
  <c r="Q144" i="1" s="1"/>
  <c r="N145" i="1"/>
  <c r="Q145" i="1" s="1"/>
  <c r="N146" i="1"/>
  <c r="Q146" i="1" s="1"/>
  <c r="N147" i="1"/>
  <c r="Q147" i="1" s="1"/>
  <c r="N148" i="1"/>
  <c r="Q148" i="1" s="1"/>
  <c r="N149" i="1"/>
  <c r="Q149" i="1" s="1"/>
  <c r="N150" i="1"/>
  <c r="Q150" i="1" s="1"/>
  <c r="N151" i="1"/>
  <c r="Q151" i="1" s="1"/>
  <c r="N152" i="1"/>
  <c r="Q152" i="1" s="1"/>
  <c r="N153" i="1"/>
  <c r="Q153" i="1" s="1"/>
  <c r="N154" i="1"/>
  <c r="Q154" i="1" s="1"/>
  <c r="N155" i="1"/>
  <c r="Q155" i="1" s="1"/>
  <c r="N156" i="1"/>
  <c r="Q156" i="1" s="1"/>
  <c r="N157" i="1"/>
  <c r="Q157" i="1" s="1"/>
  <c r="N158" i="1"/>
  <c r="Q158" i="1" s="1"/>
  <c r="N159" i="1"/>
  <c r="Q159" i="1" s="1"/>
  <c r="N160" i="1"/>
  <c r="Q160" i="1" s="1"/>
  <c r="N161" i="1"/>
  <c r="Q161" i="1" s="1"/>
  <c r="N162" i="1"/>
  <c r="Q162" i="1" s="1"/>
  <c r="N163" i="1"/>
  <c r="Q163" i="1" s="1"/>
  <c r="N164" i="1"/>
  <c r="Q164" i="1" s="1"/>
  <c r="N165" i="1"/>
  <c r="Q165" i="1" s="1"/>
  <c r="N166" i="1"/>
  <c r="Q166" i="1" s="1"/>
  <c r="N167" i="1"/>
  <c r="Q167" i="1" s="1"/>
  <c r="N168" i="1"/>
  <c r="Q168" i="1" s="1"/>
  <c r="N169" i="1"/>
  <c r="Q169" i="1" s="1"/>
  <c r="N170" i="1"/>
  <c r="Q170" i="1" s="1"/>
  <c r="N171" i="1"/>
  <c r="Q171" i="1" s="1"/>
  <c r="N172" i="1"/>
  <c r="Q172" i="1" s="1"/>
  <c r="N173" i="1"/>
  <c r="Q173" i="1" s="1"/>
  <c r="N174" i="1"/>
  <c r="Q174" i="1" s="1"/>
  <c r="N175" i="1"/>
  <c r="Q175" i="1" s="1"/>
  <c r="N176" i="1"/>
  <c r="Q176" i="1" s="1"/>
  <c r="N177" i="1"/>
  <c r="Q177" i="1" s="1"/>
  <c r="N178" i="1"/>
  <c r="Q178" i="1" s="1"/>
  <c r="N179" i="1"/>
  <c r="Q179" i="1" s="1"/>
  <c r="N180" i="1"/>
  <c r="Q180" i="1" s="1"/>
  <c r="N181" i="1"/>
  <c r="Q181" i="1" s="1"/>
  <c r="N2" i="1"/>
  <c r="Q2" i="1" s="1"/>
  <c r="M2" i="1"/>
  <c r="O3" i="1"/>
  <c r="S3" i="1" s="1" a="1"/>
  <c r="S3" i="1" s="1"/>
  <c r="O4" i="1"/>
  <c r="S4" i="1" s="1" a="1"/>
  <c r="S4" i="1" s="1"/>
  <c r="O5" i="1"/>
  <c r="S5" i="1" s="1" a="1"/>
  <c r="S5" i="1" s="1"/>
  <c r="O6" i="1"/>
  <c r="S6" i="1" s="1" a="1"/>
  <c r="S6" i="1" s="1"/>
  <c r="O7" i="1"/>
  <c r="S7" i="1" s="1" a="1"/>
  <c r="S7" i="1" s="1"/>
  <c r="O8" i="1"/>
  <c r="S8" i="1" s="1" a="1"/>
  <c r="S8" i="1" s="1"/>
  <c r="O9" i="1"/>
  <c r="S9" i="1" s="1" a="1"/>
  <c r="S9" i="1" s="1"/>
  <c r="O10" i="1"/>
  <c r="S10" i="1" s="1" a="1"/>
  <c r="S10" i="1" s="1"/>
  <c r="O11" i="1"/>
  <c r="S11" i="1" s="1" a="1"/>
  <c r="S11" i="1" s="1"/>
  <c r="O12" i="1"/>
  <c r="S12" i="1" s="1" a="1"/>
  <c r="S12" i="1" s="1"/>
  <c r="O13" i="1"/>
  <c r="S13" i="1" s="1" a="1"/>
  <c r="S13" i="1" s="1"/>
  <c r="O14" i="1"/>
  <c r="S14" i="1" s="1" a="1"/>
  <c r="S14" i="1" s="1"/>
  <c r="O15" i="1"/>
  <c r="S15" i="1" s="1" a="1"/>
  <c r="S15" i="1" s="1"/>
  <c r="O16" i="1"/>
  <c r="S16" i="1" s="1" a="1"/>
  <c r="S16" i="1" s="1"/>
  <c r="O17" i="1"/>
  <c r="S17" i="1" s="1" a="1"/>
  <c r="S17" i="1" s="1"/>
  <c r="O18" i="1"/>
  <c r="S18" i="1" s="1" a="1"/>
  <c r="S18" i="1" s="1"/>
  <c r="O19" i="1"/>
  <c r="S19" i="1" s="1" a="1"/>
  <c r="S19" i="1" s="1"/>
  <c r="O20" i="1"/>
  <c r="S20" i="1" s="1" a="1"/>
  <c r="S20" i="1" s="1"/>
  <c r="O21" i="1"/>
  <c r="S21" i="1" s="1" a="1"/>
  <c r="S21" i="1" s="1"/>
  <c r="O22" i="1"/>
  <c r="S22" i="1" s="1" a="1"/>
  <c r="S22" i="1" s="1"/>
  <c r="O23" i="1"/>
  <c r="S23" i="1" s="1" a="1"/>
  <c r="S23" i="1" s="1"/>
  <c r="O24" i="1"/>
  <c r="S24" i="1" s="1" a="1"/>
  <c r="S24" i="1" s="1"/>
  <c r="O25" i="1"/>
  <c r="S25" i="1" s="1" a="1"/>
  <c r="S25" i="1" s="1"/>
  <c r="O26" i="1"/>
  <c r="S26" i="1" s="1" a="1"/>
  <c r="S26" i="1" s="1"/>
  <c r="O27" i="1"/>
  <c r="S27" i="1" s="1" a="1"/>
  <c r="S27" i="1" s="1"/>
  <c r="O28" i="1"/>
  <c r="S28" i="1" s="1" a="1"/>
  <c r="S28" i="1" s="1"/>
  <c r="O29" i="1"/>
  <c r="S29" i="1" s="1" a="1"/>
  <c r="S29" i="1" s="1"/>
  <c r="O30" i="1"/>
  <c r="S30" i="1" s="1" a="1"/>
  <c r="S30" i="1" s="1"/>
  <c r="O31" i="1"/>
  <c r="S31" i="1" s="1" a="1"/>
  <c r="S31" i="1" s="1"/>
  <c r="O32" i="1"/>
  <c r="S32" i="1" s="1" a="1"/>
  <c r="S32" i="1" s="1"/>
  <c r="O33" i="1"/>
  <c r="S33" i="1" s="1" a="1"/>
  <c r="S33" i="1" s="1"/>
  <c r="O34" i="1"/>
  <c r="S34" i="1" s="1" a="1"/>
  <c r="S34" i="1" s="1"/>
  <c r="O35" i="1"/>
  <c r="S35" i="1" s="1" a="1"/>
  <c r="S35" i="1" s="1"/>
  <c r="O36" i="1"/>
  <c r="S36" i="1" s="1" a="1"/>
  <c r="S36" i="1" s="1"/>
  <c r="O37" i="1"/>
  <c r="S37" i="1" s="1" a="1"/>
  <c r="S37" i="1" s="1"/>
  <c r="O38" i="1"/>
  <c r="S38" i="1" s="1" a="1"/>
  <c r="S38" i="1" s="1"/>
  <c r="O39" i="1"/>
  <c r="S39" i="1" s="1" a="1"/>
  <c r="S39" i="1" s="1"/>
  <c r="O40" i="1"/>
  <c r="S40" i="1" s="1" a="1"/>
  <c r="S40" i="1" s="1"/>
  <c r="O41" i="1"/>
  <c r="S41" i="1" s="1" a="1"/>
  <c r="S41" i="1" s="1"/>
  <c r="O42" i="1"/>
  <c r="S42" i="1" s="1" a="1"/>
  <c r="S42" i="1" s="1"/>
  <c r="O43" i="1"/>
  <c r="S43" i="1" s="1" a="1"/>
  <c r="S43" i="1" s="1"/>
  <c r="O44" i="1"/>
  <c r="S44" i="1" s="1" a="1"/>
  <c r="S44" i="1" s="1"/>
  <c r="O45" i="1"/>
  <c r="S45" i="1" s="1" a="1"/>
  <c r="S45" i="1" s="1"/>
  <c r="O46" i="1"/>
  <c r="S46" i="1" s="1" a="1"/>
  <c r="S46" i="1" s="1"/>
  <c r="O47" i="1"/>
  <c r="S47" i="1" s="1" a="1"/>
  <c r="S47" i="1" s="1"/>
  <c r="O48" i="1"/>
  <c r="S48" i="1" s="1" a="1"/>
  <c r="S48" i="1" s="1"/>
  <c r="O49" i="1"/>
  <c r="S49" i="1" s="1" a="1"/>
  <c r="S49" i="1" s="1"/>
  <c r="O50" i="1"/>
  <c r="S50" i="1" s="1" a="1"/>
  <c r="S50" i="1" s="1"/>
  <c r="O51" i="1"/>
  <c r="S51" i="1" s="1" a="1"/>
  <c r="S51" i="1" s="1"/>
  <c r="O52" i="1"/>
  <c r="S52" i="1" s="1" a="1"/>
  <c r="S52" i="1" s="1"/>
  <c r="O53" i="1"/>
  <c r="S53" i="1" s="1" a="1"/>
  <c r="S53" i="1" s="1"/>
  <c r="O54" i="1"/>
  <c r="S54" i="1" s="1" a="1"/>
  <c r="S54" i="1" s="1"/>
  <c r="O55" i="1"/>
  <c r="S55" i="1" s="1" a="1"/>
  <c r="S55" i="1" s="1"/>
  <c r="O56" i="1"/>
  <c r="S56" i="1" s="1" a="1"/>
  <c r="S56" i="1" s="1"/>
  <c r="O57" i="1"/>
  <c r="S57" i="1" s="1" a="1"/>
  <c r="S57" i="1" s="1"/>
  <c r="O58" i="1"/>
  <c r="S58" i="1" s="1" a="1"/>
  <c r="S58" i="1" s="1"/>
  <c r="O59" i="1"/>
  <c r="S59" i="1" s="1" a="1"/>
  <c r="S59" i="1" s="1"/>
  <c r="O60" i="1"/>
  <c r="S60" i="1" s="1" a="1"/>
  <c r="S60" i="1" s="1"/>
  <c r="O61" i="1"/>
  <c r="S61" i="1" s="1" a="1"/>
  <c r="S61" i="1" s="1"/>
  <c r="O62" i="1"/>
  <c r="S62" i="1" s="1" a="1"/>
  <c r="S62" i="1" s="1"/>
  <c r="O63" i="1"/>
  <c r="S63" i="1" s="1" a="1"/>
  <c r="S63" i="1" s="1"/>
  <c r="O64" i="1"/>
  <c r="S64" i="1" s="1" a="1"/>
  <c r="S64" i="1" s="1"/>
  <c r="O65" i="1"/>
  <c r="S65" i="1" s="1" a="1"/>
  <c r="S65" i="1" s="1"/>
  <c r="O66" i="1"/>
  <c r="S66" i="1" s="1" a="1"/>
  <c r="S66" i="1" s="1"/>
  <c r="O67" i="1"/>
  <c r="S67" i="1" s="1" a="1"/>
  <c r="S67" i="1" s="1"/>
  <c r="O68" i="1"/>
  <c r="S68" i="1" s="1" a="1"/>
  <c r="S68" i="1" s="1"/>
  <c r="O69" i="1"/>
  <c r="S69" i="1" s="1" a="1"/>
  <c r="S69" i="1" s="1"/>
  <c r="O70" i="1"/>
  <c r="S70" i="1" s="1" a="1"/>
  <c r="S70" i="1" s="1"/>
  <c r="O71" i="1"/>
  <c r="S71" i="1" s="1" a="1"/>
  <c r="S71" i="1" s="1"/>
  <c r="O72" i="1"/>
  <c r="S72" i="1" s="1" a="1"/>
  <c r="S72" i="1" s="1"/>
  <c r="O73" i="1"/>
  <c r="S73" i="1" s="1" a="1"/>
  <c r="S73" i="1" s="1"/>
  <c r="O74" i="1"/>
  <c r="S74" i="1" s="1" a="1"/>
  <c r="S74" i="1" s="1"/>
  <c r="O75" i="1"/>
  <c r="S75" i="1" s="1" a="1"/>
  <c r="S75" i="1" s="1"/>
  <c r="O76" i="1"/>
  <c r="S76" i="1" s="1" a="1"/>
  <c r="S76" i="1" s="1"/>
  <c r="O77" i="1"/>
  <c r="S77" i="1" s="1" a="1"/>
  <c r="S77" i="1" s="1"/>
  <c r="O78" i="1"/>
  <c r="S78" i="1" s="1" a="1"/>
  <c r="S78" i="1" s="1"/>
  <c r="O79" i="1"/>
  <c r="S79" i="1" s="1" a="1"/>
  <c r="S79" i="1" s="1"/>
  <c r="O80" i="1"/>
  <c r="S80" i="1" s="1" a="1"/>
  <c r="S80" i="1" s="1"/>
  <c r="O81" i="1"/>
  <c r="S81" i="1" s="1" a="1"/>
  <c r="S81" i="1" s="1"/>
  <c r="O82" i="1"/>
  <c r="S82" i="1" s="1" a="1"/>
  <c r="S82" i="1" s="1"/>
  <c r="O83" i="1"/>
  <c r="S83" i="1" s="1" a="1"/>
  <c r="S83" i="1" s="1"/>
  <c r="O84" i="1"/>
  <c r="S84" i="1" s="1" a="1"/>
  <c r="S84" i="1" s="1"/>
  <c r="O85" i="1"/>
  <c r="S85" i="1" s="1" a="1"/>
  <c r="S85" i="1" s="1"/>
  <c r="O86" i="1"/>
  <c r="S86" i="1" s="1" a="1"/>
  <c r="S86" i="1" s="1"/>
  <c r="O87" i="1"/>
  <c r="S87" i="1" s="1" a="1"/>
  <c r="S87" i="1" s="1"/>
  <c r="O88" i="1"/>
  <c r="S88" i="1" s="1" a="1"/>
  <c r="S88" i="1" s="1"/>
  <c r="O89" i="1"/>
  <c r="S89" i="1" s="1" a="1"/>
  <c r="S89" i="1" s="1"/>
  <c r="O90" i="1"/>
  <c r="S90" i="1" s="1" a="1"/>
  <c r="S90" i="1" s="1"/>
  <c r="O91" i="1"/>
  <c r="S91" i="1" s="1" a="1"/>
  <c r="S91" i="1" s="1"/>
  <c r="O92" i="1"/>
  <c r="S92" i="1" s="1" a="1"/>
  <c r="S92" i="1" s="1"/>
  <c r="O93" i="1"/>
  <c r="S93" i="1" s="1" a="1"/>
  <c r="S93" i="1" s="1"/>
  <c r="O94" i="1"/>
  <c r="S94" i="1" s="1" a="1"/>
  <c r="S94" i="1" s="1"/>
  <c r="O95" i="1"/>
  <c r="S95" i="1" s="1" a="1"/>
  <c r="S95" i="1" s="1"/>
  <c r="O96" i="1"/>
  <c r="S96" i="1" s="1" a="1"/>
  <c r="S96" i="1" s="1"/>
  <c r="O97" i="1"/>
  <c r="S97" i="1" s="1" a="1"/>
  <c r="S97" i="1" s="1"/>
  <c r="O98" i="1"/>
  <c r="S98" i="1" s="1" a="1"/>
  <c r="S98" i="1" s="1"/>
  <c r="O99" i="1"/>
  <c r="S99" i="1" s="1" a="1"/>
  <c r="S99" i="1" s="1"/>
  <c r="O100" i="1"/>
  <c r="S100" i="1" s="1" a="1"/>
  <c r="S100" i="1" s="1"/>
  <c r="O101" i="1"/>
  <c r="S101" i="1" s="1" a="1"/>
  <c r="S101" i="1" s="1"/>
  <c r="O102" i="1"/>
  <c r="S102" i="1" s="1" a="1"/>
  <c r="S102" i="1" s="1"/>
  <c r="O103" i="1"/>
  <c r="S103" i="1" s="1" a="1"/>
  <c r="S103" i="1" s="1"/>
  <c r="O104" i="1"/>
  <c r="S104" i="1" s="1" a="1"/>
  <c r="S104" i="1" s="1"/>
  <c r="O105" i="1"/>
  <c r="S105" i="1" s="1" a="1"/>
  <c r="S105" i="1" s="1"/>
  <c r="O106" i="1"/>
  <c r="S106" i="1" s="1" a="1"/>
  <c r="S106" i="1" s="1"/>
  <c r="O107" i="1"/>
  <c r="S107" i="1" s="1" a="1"/>
  <c r="S107" i="1" s="1"/>
  <c r="O108" i="1"/>
  <c r="S108" i="1" s="1" a="1"/>
  <c r="S108" i="1" s="1"/>
  <c r="O109" i="1"/>
  <c r="S109" i="1" s="1" a="1"/>
  <c r="S109" i="1" s="1"/>
  <c r="O110" i="1"/>
  <c r="S110" i="1" s="1" a="1"/>
  <c r="S110" i="1" s="1"/>
  <c r="O111" i="1"/>
  <c r="S111" i="1" s="1" a="1"/>
  <c r="S111" i="1" s="1"/>
  <c r="O112" i="1"/>
  <c r="S112" i="1" s="1" a="1"/>
  <c r="S112" i="1" s="1"/>
  <c r="O113" i="1"/>
  <c r="S113" i="1" s="1" a="1"/>
  <c r="S113" i="1" s="1"/>
  <c r="O114" i="1"/>
  <c r="S114" i="1" s="1" a="1"/>
  <c r="S114" i="1" s="1"/>
  <c r="O115" i="1"/>
  <c r="S115" i="1" s="1" a="1"/>
  <c r="S115" i="1" s="1"/>
  <c r="O116" i="1"/>
  <c r="S116" i="1" s="1" a="1"/>
  <c r="S116" i="1" s="1"/>
  <c r="O117" i="1"/>
  <c r="S117" i="1" s="1" a="1"/>
  <c r="S117" i="1" s="1"/>
  <c r="O118" i="1"/>
  <c r="S118" i="1" s="1" a="1"/>
  <c r="S118" i="1" s="1"/>
  <c r="O119" i="1"/>
  <c r="S119" i="1" s="1" a="1"/>
  <c r="S119" i="1" s="1"/>
  <c r="O120" i="1"/>
  <c r="S120" i="1" s="1" a="1"/>
  <c r="S120" i="1" s="1"/>
  <c r="O121" i="1"/>
  <c r="S121" i="1" s="1" a="1"/>
  <c r="S121" i="1" s="1"/>
  <c r="O122" i="1"/>
  <c r="S122" i="1" s="1" a="1"/>
  <c r="S122" i="1" s="1"/>
  <c r="O123" i="1"/>
  <c r="S123" i="1" s="1" a="1"/>
  <c r="S123" i="1" s="1"/>
  <c r="O124" i="1"/>
  <c r="S124" i="1" s="1" a="1"/>
  <c r="S124" i="1" s="1"/>
  <c r="O125" i="1"/>
  <c r="S125" i="1" s="1" a="1"/>
  <c r="S125" i="1" s="1"/>
  <c r="O126" i="1"/>
  <c r="S126" i="1" s="1" a="1"/>
  <c r="S126" i="1" s="1"/>
  <c r="O127" i="1"/>
  <c r="S127" i="1" s="1" a="1"/>
  <c r="S127" i="1" s="1"/>
  <c r="O128" i="1"/>
  <c r="S128" i="1" s="1" a="1"/>
  <c r="S128" i="1" s="1"/>
  <c r="O129" i="1"/>
  <c r="S129" i="1" s="1" a="1"/>
  <c r="S129" i="1" s="1"/>
  <c r="O130" i="1"/>
  <c r="S130" i="1" s="1" a="1"/>
  <c r="S130" i="1" s="1"/>
  <c r="O131" i="1"/>
  <c r="S131" i="1" s="1" a="1"/>
  <c r="S131" i="1" s="1"/>
  <c r="O132" i="1"/>
  <c r="S132" i="1" s="1" a="1"/>
  <c r="S132" i="1" s="1"/>
  <c r="O133" i="1"/>
  <c r="S133" i="1" s="1" a="1"/>
  <c r="S133" i="1" s="1"/>
  <c r="O134" i="1"/>
  <c r="S134" i="1" s="1" a="1"/>
  <c r="S134" i="1" s="1"/>
  <c r="O135" i="1"/>
  <c r="S135" i="1" s="1" a="1"/>
  <c r="S135" i="1" s="1"/>
  <c r="O136" i="1"/>
  <c r="S136" i="1" s="1" a="1"/>
  <c r="S136" i="1" s="1"/>
  <c r="O137" i="1"/>
  <c r="S137" i="1" s="1" a="1"/>
  <c r="S137" i="1" s="1"/>
  <c r="O138" i="1"/>
  <c r="S138" i="1" s="1" a="1"/>
  <c r="S138" i="1" s="1"/>
  <c r="O139" i="1"/>
  <c r="S139" i="1" s="1" a="1"/>
  <c r="S139" i="1" s="1"/>
  <c r="O140" i="1"/>
  <c r="S140" i="1" s="1" a="1"/>
  <c r="S140" i="1" s="1"/>
  <c r="O141" i="1"/>
  <c r="S141" i="1" s="1" a="1"/>
  <c r="S141" i="1" s="1"/>
  <c r="O142" i="1"/>
  <c r="S142" i="1" s="1" a="1"/>
  <c r="S142" i="1" s="1"/>
  <c r="O143" i="1"/>
  <c r="S143" i="1" s="1" a="1"/>
  <c r="S143" i="1" s="1"/>
  <c r="O144" i="1"/>
  <c r="S144" i="1" s="1" a="1"/>
  <c r="S144" i="1" s="1"/>
  <c r="O145" i="1"/>
  <c r="S145" i="1" s="1" a="1"/>
  <c r="S145" i="1" s="1"/>
  <c r="O146" i="1"/>
  <c r="S146" i="1" s="1" a="1"/>
  <c r="S146" i="1" s="1"/>
  <c r="O147" i="1"/>
  <c r="S147" i="1" s="1" a="1"/>
  <c r="S147" i="1" s="1"/>
  <c r="O148" i="1"/>
  <c r="S148" i="1" s="1" a="1"/>
  <c r="S148" i="1" s="1"/>
  <c r="O149" i="1"/>
  <c r="S149" i="1" s="1" a="1"/>
  <c r="S149" i="1" s="1"/>
  <c r="O150" i="1"/>
  <c r="S150" i="1" s="1" a="1"/>
  <c r="S150" i="1" s="1"/>
  <c r="O151" i="1"/>
  <c r="S151" i="1" s="1" a="1"/>
  <c r="S151" i="1" s="1"/>
  <c r="O152" i="1"/>
  <c r="S152" i="1" s="1" a="1"/>
  <c r="S152" i="1" s="1"/>
  <c r="O153" i="1"/>
  <c r="S153" i="1" s="1" a="1"/>
  <c r="S153" i="1" s="1"/>
  <c r="O154" i="1"/>
  <c r="S154" i="1" s="1" a="1"/>
  <c r="S154" i="1" s="1"/>
  <c r="O155" i="1"/>
  <c r="S155" i="1" s="1" a="1"/>
  <c r="S155" i="1" s="1"/>
  <c r="O156" i="1"/>
  <c r="S156" i="1" s="1" a="1"/>
  <c r="S156" i="1" s="1"/>
  <c r="O157" i="1"/>
  <c r="S157" i="1" s="1" a="1"/>
  <c r="S157" i="1" s="1"/>
  <c r="O158" i="1"/>
  <c r="S158" i="1" s="1" a="1"/>
  <c r="S158" i="1" s="1"/>
  <c r="O159" i="1"/>
  <c r="S159" i="1" s="1" a="1"/>
  <c r="S159" i="1" s="1"/>
  <c r="O160" i="1"/>
  <c r="S160" i="1" s="1" a="1"/>
  <c r="S160" i="1" s="1"/>
  <c r="O161" i="1"/>
  <c r="S161" i="1" s="1" a="1"/>
  <c r="S161" i="1" s="1"/>
  <c r="O162" i="1"/>
  <c r="S162" i="1" s="1" a="1"/>
  <c r="S162" i="1" s="1"/>
  <c r="O163" i="1"/>
  <c r="S163" i="1" s="1" a="1"/>
  <c r="S163" i="1" s="1"/>
  <c r="O164" i="1"/>
  <c r="S164" i="1" s="1" a="1"/>
  <c r="S164" i="1" s="1"/>
  <c r="O165" i="1"/>
  <c r="S165" i="1" s="1" a="1"/>
  <c r="S165" i="1" s="1"/>
  <c r="O166" i="1"/>
  <c r="S166" i="1" s="1" a="1"/>
  <c r="S166" i="1" s="1"/>
  <c r="O167" i="1"/>
  <c r="S167" i="1" s="1" a="1"/>
  <c r="S167" i="1" s="1"/>
  <c r="O168" i="1"/>
  <c r="S168" i="1" s="1" a="1"/>
  <c r="S168" i="1" s="1"/>
  <c r="O169" i="1"/>
  <c r="S169" i="1" s="1" a="1"/>
  <c r="S169" i="1" s="1"/>
  <c r="O170" i="1"/>
  <c r="S170" i="1" s="1" a="1"/>
  <c r="S170" i="1" s="1"/>
  <c r="O171" i="1"/>
  <c r="S171" i="1" s="1" a="1"/>
  <c r="S171" i="1" s="1"/>
  <c r="O172" i="1"/>
  <c r="S172" i="1" s="1" a="1"/>
  <c r="S172" i="1" s="1"/>
  <c r="O173" i="1"/>
  <c r="S173" i="1" s="1" a="1"/>
  <c r="S173" i="1" s="1"/>
  <c r="O174" i="1"/>
  <c r="S174" i="1" s="1" a="1"/>
  <c r="S174" i="1" s="1"/>
  <c r="O175" i="1"/>
  <c r="S175" i="1" s="1" a="1"/>
  <c r="S175" i="1" s="1"/>
  <c r="O176" i="1"/>
  <c r="S176" i="1" s="1" a="1"/>
  <c r="S176" i="1" s="1"/>
  <c r="O177" i="1"/>
  <c r="S177" i="1" s="1" a="1"/>
  <c r="S177" i="1" s="1"/>
  <c r="O178" i="1"/>
  <c r="S178" i="1" s="1" a="1"/>
  <c r="S178" i="1" s="1"/>
  <c r="O179" i="1"/>
  <c r="S179" i="1" s="1" a="1"/>
  <c r="S179" i="1" s="1"/>
  <c r="O180" i="1"/>
  <c r="S180" i="1" s="1" a="1"/>
  <c r="S180" i="1" s="1"/>
  <c r="O181" i="1"/>
  <c r="S181" i="1" s="1" a="1"/>
  <c r="S181" i="1" s="1"/>
  <c r="O2" i="1"/>
  <c r="S2" i="1" s="1" a="1"/>
  <c r="S2" i="1" s="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L2" i="1"/>
  <c r="R2" i="1" s="1" a="1"/>
  <c r="R2" i="1" s="1"/>
  <c r="L3" i="1"/>
  <c r="R3" i="1" s="1" a="1"/>
  <c r="R3" i="1" s="1"/>
  <c r="L4" i="1"/>
  <c r="R4" i="1" s="1" a="1"/>
  <c r="R4" i="1" s="1"/>
  <c r="L5" i="1"/>
  <c r="R5" i="1" s="1" a="1"/>
  <c r="R5" i="1" s="1"/>
  <c r="L6" i="1"/>
  <c r="R6" i="1" s="1" a="1"/>
  <c r="R6" i="1" s="1"/>
  <c r="L7" i="1"/>
  <c r="R7" i="1" s="1" a="1"/>
  <c r="R7" i="1" s="1"/>
  <c r="L8" i="1"/>
  <c r="R8" i="1" s="1" a="1"/>
  <c r="R8" i="1" s="1"/>
  <c r="L9" i="1"/>
  <c r="R9" i="1" s="1" a="1"/>
  <c r="R9" i="1" s="1"/>
  <c r="L10" i="1"/>
  <c r="R10" i="1" s="1" a="1"/>
  <c r="R10" i="1" s="1"/>
  <c r="L11" i="1"/>
  <c r="R11" i="1" s="1" a="1"/>
  <c r="R11" i="1" s="1"/>
  <c r="L12" i="1"/>
  <c r="R12" i="1" s="1" a="1"/>
  <c r="R12" i="1" s="1"/>
  <c r="L13" i="1"/>
  <c r="R13" i="1" s="1" a="1"/>
  <c r="R13" i="1" s="1"/>
  <c r="L14" i="1"/>
  <c r="R14" i="1" s="1" a="1"/>
  <c r="R14" i="1" s="1"/>
  <c r="L15" i="1"/>
  <c r="R15" i="1" s="1" a="1"/>
  <c r="R15" i="1" s="1"/>
  <c r="L16" i="1"/>
  <c r="R16" i="1" s="1" a="1"/>
  <c r="R16" i="1" s="1"/>
  <c r="L17" i="1"/>
  <c r="R17" i="1" s="1" a="1"/>
  <c r="R17" i="1" s="1"/>
  <c r="L18" i="1"/>
  <c r="R18" i="1" s="1" a="1"/>
  <c r="R18" i="1" s="1"/>
  <c r="L19" i="1"/>
  <c r="R19" i="1" s="1" a="1"/>
  <c r="R19" i="1" s="1"/>
  <c r="L20" i="1"/>
  <c r="R20" i="1" s="1" a="1"/>
  <c r="R20" i="1" s="1"/>
  <c r="L21" i="1"/>
  <c r="R21" i="1" s="1" a="1"/>
  <c r="R21" i="1" s="1"/>
  <c r="L22" i="1"/>
  <c r="R22" i="1" s="1" a="1"/>
  <c r="R22" i="1" s="1"/>
  <c r="L23" i="1"/>
  <c r="R23" i="1" s="1" a="1"/>
  <c r="R23" i="1" s="1"/>
  <c r="L24" i="1"/>
  <c r="R24" i="1" s="1" a="1"/>
  <c r="R24" i="1" s="1"/>
  <c r="L25" i="1"/>
  <c r="R25" i="1" s="1" a="1"/>
  <c r="R25" i="1" s="1"/>
  <c r="L26" i="1"/>
  <c r="R26" i="1" s="1" a="1"/>
  <c r="R26" i="1" s="1"/>
  <c r="L27" i="1"/>
  <c r="R27" i="1" s="1" a="1"/>
  <c r="R27" i="1" s="1"/>
  <c r="L28" i="1"/>
  <c r="R28" i="1" s="1" a="1"/>
  <c r="R28" i="1" s="1"/>
  <c r="L29" i="1"/>
  <c r="R29" i="1" s="1" a="1"/>
  <c r="R29" i="1" s="1"/>
  <c r="L30" i="1"/>
  <c r="R30" i="1" s="1" a="1"/>
  <c r="R30" i="1" s="1"/>
  <c r="L31" i="1"/>
  <c r="R31" i="1" s="1" a="1"/>
  <c r="R31" i="1" s="1"/>
  <c r="L32" i="1"/>
  <c r="R32" i="1" s="1" a="1"/>
  <c r="R32" i="1" s="1"/>
  <c r="L33" i="1"/>
  <c r="R33" i="1" s="1" a="1"/>
  <c r="R33" i="1" s="1"/>
  <c r="L34" i="1"/>
  <c r="R34" i="1" s="1" a="1"/>
  <c r="R34" i="1" s="1"/>
  <c r="L35" i="1"/>
  <c r="R35" i="1" s="1" a="1"/>
  <c r="R35" i="1" s="1"/>
  <c r="L36" i="1"/>
  <c r="R36" i="1" s="1" a="1"/>
  <c r="R36" i="1" s="1"/>
  <c r="L37" i="1"/>
  <c r="R37" i="1" s="1" a="1"/>
  <c r="R37" i="1" s="1"/>
  <c r="L38" i="1"/>
  <c r="R38" i="1" s="1" a="1"/>
  <c r="R38" i="1" s="1"/>
  <c r="L39" i="1"/>
  <c r="R39" i="1" s="1" a="1"/>
  <c r="R39" i="1" s="1"/>
  <c r="L40" i="1"/>
  <c r="R40" i="1" s="1" a="1"/>
  <c r="R40" i="1" s="1"/>
  <c r="L41" i="1"/>
  <c r="R41" i="1" s="1" a="1"/>
  <c r="R41" i="1" s="1"/>
  <c r="L42" i="1"/>
  <c r="R42" i="1" s="1" a="1"/>
  <c r="R42" i="1" s="1"/>
  <c r="L43" i="1"/>
  <c r="R43" i="1" s="1" a="1"/>
  <c r="R43" i="1" s="1"/>
  <c r="L44" i="1"/>
  <c r="R44" i="1" s="1" a="1"/>
  <c r="R44" i="1" s="1"/>
  <c r="L45" i="1"/>
  <c r="R45" i="1" s="1" a="1"/>
  <c r="R45" i="1" s="1"/>
  <c r="L46" i="1"/>
  <c r="R46" i="1" s="1" a="1"/>
  <c r="R46" i="1" s="1"/>
  <c r="L47" i="1"/>
  <c r="R47" i="1" s="1" a="1"/>
  <c r="R47" i="1" s="1"/>
  <c r="L48" i="1"/>
  <c r="R48" i="1" s="1" a="1"/>
  <c r="R48" i="1" s="1"/>
  <c r="L49" i="1"/>
  <c r="R49" i="1" s="1" a="1"/>
  <c r="R49" i="1" s="1"/>
  <c r="L50" i="1"/>
  <c r="R50" i="1" s="1" a="1"/>
  <c r="R50" i="1" s="1"/>
  <c r="L51" i="1"/>
  <c r="R51" i="1" s="1" a="1"/>
  <c r="R51" i="1" s="1"/>
  <c r="L52" i="1"/>
  <c r="R52" i="1" s="1" a="1"/>
  <c r="R52" i="1" s="1"/>
  <c r="L53" i="1"/>
  <c r="R53" i="1" s="1" a="1"/>
  <c r="R53" i="1" s="1"/>
  <c r="L54" i="1"/>
  <c r="R54" i="1" s="1" a="1"/>
  <c r="R54" i="1" s="1"/>
  <c r="L55" i="1"/>
  <c r="R55" i="1" s="1" a="1"/>
  <c r="R55" i="1" s="1"/>
  <c r="L56" i="1"/>
  <c r="R56" i="1" s="1" a="1"/>
  <c r="R56" i="1" s="1"/>
  <c r="L57" i="1"/>
  <c r="R57" i="1" s="1" a="1"/>
  <c r="R57" i="1" s="1"/>
  <c r="L58" i="1"/>
  <c r="R58" i="1" s="1" a="1"/>
  <c r="R58" i="1" s="1"/>
  <c r="L59" i="1"/>
  <c r="R59" i="1" s="1" a="1"/>
  <c r="R59" i="1" s="1"/>
  <c r="L60" i="1"/>
  <c r="R60" i="1" s="1" a="1"/>
  <c r="R60" i="1" s="1"/>
  <c r="L61" i="1"/>
  <c r="R61" i="1" s="1" a="1"/>
  <c r="R61" i="1" s="1"/>
  <c r="L62" i="1"/>
  <c r="R62" i="1" s="1" a="1"/>
  <c r="R62" i="1" s="1"/>
  <c r="L63" i="1"/>
  <c r="R63" i="1" s="1" a="1"/>
  <c r="R63" i="1" s="1"/>
  <c r="L64" i="1"/>
  <c r="R64" i="1" s="1" a="1"/>
  <c r="R64" i="1" s="1"/>
  <c r="L65" i="1"/>
  <c r="R65" i="1" s="1" a="1"/>
  <c r="R65" i="1" s="1"/>
  <c r="L66" i="1"/>
  <c r="R66" i="1" s="1" a="1"/>
  <c r="R66" i="1" s="1"/>
  <c r="L67" i="1"/>
  <c r="R67" i="1" s="1" a="1"/>
  <c r="R67" i="1" s="1"/>
  <c r="L68" i="1"/>
  <c r="R68" i="1" s="1" a="1"/>
  <c r="R68" i="1" s="1"/>
  <c r="L69" i="1"/>
  <c r="R69" i="1" s="1" a="1"/>
  <c r="R69" i="1" s="1"/>
  <c r="L70" i="1"/>
  <c r="R70" i="1" s="1" a="1"/>
  <c r="R70" i="1" s="1"/>
  <c r="L71" i="1"/>
  <c r="R71" i="1" s="1" a="1"/>
  <c r="R71" i="1" s="1"/>
  <c r="L72" i="1"/>
  <c r="R72" i="1" s="1" a="1"/>
  <c r="R72" i="1" s="1"/>
  <c r="L73" i="1"/>
  <c r="R73" i="1" s="1" a="1"/>
  <c r="R73" i="1" s="1"/>
  <c r="L74" i="1"/>
  <c r="R74" i="1" s="1" a="1"/>
  <c r="R74" i="1" s="1"/>
  <c r="L75" i="1"/>
  <c r="R75" i="1" s="1" a="1"/>
  <c r="R75" i="1" s="1"/>
  <c r="L76" i="1"/>
  <c r="R76" i="1" s="1" a="1"/>
  <c r="R76" i="1" s="1"/>
  <c r="L77" i="1"/>
  <c r="R77" i="1" s="1" a="1"/>
  <c r="R77" i="1" s="1"/>
  <c r="L78" i="1"/>
  <c r="R78" i="1" s="1" a="1"/>
  <c r="R78" i="1" s="1"/>
  <c r="L79" i="1"/>
  <c r="R79" i="1" s="1" a="1"/>
  <c r="R79" i="1" s="1"/>
  <c r="L80" i="1"/>
  <c r="R80" i="1" s="1" a="1"/>
  <c r="R80" i="1" s="1"/>
  <c r="L81" i="1"/>
  <c r="R81" i="1" s="1" a="1"/>
  <c r="R81" i="1" s="1"/>
  <c r="L82" i="1"/>
  <c r="R82" i="1" s="1" a="1"/>
  <c r="R82" i="1" s="1"/>
  <c r="L83" i="1"/>
  <c r="R83" i="1" s="1" a="1"/>
  <c r="R83" i="1" s="1"/>
  <c r="L84" i="1"/>
  <c r="R84" i="1" s="1" a="1"/>
  <c r="R84" i="1" s="1"/>
  <c r="L85" i="1"/>
  <c r="R85" i="1" s="1" a="1"/>
  <c r="R85" i="1" s="1"/>
  <c r="L86" i="1"/>
  <c r="R86" i="1" s="1" a="1"/>
  <c r="R86" i="1" s="1"/>
  <c r="L87" i="1"/>
  <c r="R87" i="1" s="1" a="1"/>
  <c r="R87" i="1" s="1"/>
  <c r="L88" i="1"/>
  <c r="R88" i="1" s="1" a="1"/>
  <c r="R88" i="1" s="1"/>
  <c r="L89" i="1"/>
  <c r="R89" i="1" s="1" a="1"/>
  <c r="R89" i="1" s="1"/>
  <c r="L90" i="1"/>
  <c r="R90" i="1" s="1" a="1"/>
  <c r="R90" i="1" s="1"/>
  <c r="L91" i="1"/>
  <c r="R91" i="1" s="1" a="1"/>
  <c r="R91" i="1" s="1"/>
  <c r="L92" i="1"/>
  <c r="R92" i="1" s="1" a="1"/>
  <c r="R92" i="1" s="1"/>
  <c r="L93" i="1"/>
  <c r="R93" i="1" s="1" a="1"/>
  <c r="R93" i="1" s="1"/>
  <c r="L94" i="1"/>
  <c r="R94" i="1" s="1" a="1"/>
  <c r="R94" i="1" s="1"/>
  <c r="L95" i="1"/>
  <c r="R95" i="1" s="1" a="1"/>
  <c r="R95" i="1" s="1"/>
  <c r="L96" i="1"/>
  <c r="R96" i="1" s="1" a="1"/>
  <c r="R96" i="1" s="1"/>
  <c r="L97" i="1"/>
  <c r="R97" i="1" s="1" a="1"/>
  <c r="R97" i="1" s="1"/>
  <c r="L98" i="1"/>
  <c r="R98" i="1" s="1" a="1"/>
  <c r="R98" i="1" s="1"/>
  <c r="L99" i="1"/>
  <c r="R99" i="1" s="1" a="1"/>
  <c r="R99" i="1" s="1"/>
  <c r="L100" i="1"/>
  <c r="R100" i="1" s="1" a="1"/>
  <c r="R100" i="1" s="1"/>
  <c r="L101" i="1"/>
  <c r="R101" i="1" s="1" a="1"/>
  <c r="R101" i="1" s="1"/>
  <c r="L102" i="1"/>
  <c r="R102" i="1" s="1" a="1"/>
  <c r="R102" i="1" s="1"/>
  <c r="L103" i="1"/>
  <c r="R103" i="1" s="1" a="1"/>
  <c r="R103" i="1" s="1"/>
  <c r="L104" i="1"/>
  <c r="R104" i="1" s="1" a="1"/>
  <c r="R104" i="1" s="1"/>
  <c r="L105" i="1"/>
  <c r="R105" i="1" s="1" a="1"/>
  <c r="R105" i="1" s="1"/>
  <c r="L106" i="1"/>
  <c r="R106" i="1" s="1" a="1"/>
  <c r="R106" i="1" s="1"/>
  <c r="L107" i="1"/>
  <c r="R107" i="1" s="1" a="1"/>
  <c r="R107" i="1" s="1"/>
  <c r="L108" i="1"/>
  <c r="R108" i="1" s="1" a="1"/>
  <c r="R108" i="1" s="1"/>
  <c r="L109" i="1"/>
  <c r="R109" i="1" s="1" a="1"/>
  <c r="R109" i="1" s="1"/>
  <c r="L110" i="1"/>
  <c r="R110" i="1" s="1" a="1"/>
  <c r="R110" i="1" s="1"/>
  <c r="L111" i="1"/>
  <c r="R111" i="1" s="1" a="1"/>
  <c r="R111" i="1" s="1"/>
  <c r="L112" i="1"/>
  <c r="R112" i="1" s="1" a="1"/>
  <c r="R112" i="1" s="1"/>
  <c r="L113" i="1"/>
  <c r="R113" i="1" s="1" a="1"/>
  <c r="R113" i="1" s="1"/>
  <c r="L114" i="1"/>
  <c r="R114" i="1" s="1" a="1"/>
  <c r="R114" i="1" s="1"/>
  <c r="L115" i="1"/>
  <c r="R115" i="1" s="1" a="1"/>
  <c r="R115" i="1" s="1"/>
  <c r="L116" i="1"/>
  <c r="R116" i="1" s="1" a="1"/>
  <c r="R116" i="1" s="1"/>
  <c r="L117" i="1"/>
  <c r="R117" i="1" s="1" a="1"/>
  <c r="R117" i="1" s="1"/>
  <c r="L118" i="1"/>
  <c r="R118" i="1" s="1" a="1"/>
  <c r="R118" i="1" s="1"/>
  <c r="L119" i="1"/>
  <c r="R119" i="1" s="1" a="1"/>
  <c r="R119" i="1" s="1"/>
  <c r="L120" i="1"/>
  <c r="R120" i="1" s="1" a="1"/>
  <c r="R120" i="1" s="1"/>
  <c r="L121" i="1"/>
  <c r="R121" i="1" s="1" a="1"/>
  <c r="R121" i="1" s="1"/>
  <c r="L122" i="1"/>
  <c r="R122" i="1" s="1" a="1"/>
  <c r="R122" i="1" s="1"/>
  <c r="L123" i="1"/>
  <c r="R123" i="1" s="1" a="1"/>
  <c r="R123" i="1" s="1"/>
  <c r="L124" i="1"/>
  <c r="R124" i="1" s="1" a="1"/>
  <c r="R124" i="1" s="1"/>
  <c r="L125" i="1"/>
  <c r="R125" i="1" s="1" a="1"/>
  <c r="R125" i="1" s="1"/>
  <c r="L126" i="1"/>
  <c r="R126" i="1" s="1" a="1"/>
  <c r="R126" i="1" s="1"/>
  <c r="L127" i="1"/>
  <c r="R127" i="1" s="1" a="1"/>
  <c r="R127" i="1" s="1"/>
  <c r="L128" i="1"/>
  <c r="R128" i="1" s="1" a="1"/>
  <c r="R128" i="1" s="1"/>
  <c r="L129" i="1"/>
  <c r="R129" i="1" s="1" a="1"/>
  <c r="R129" i="1" s="1"/>
  <c r="L130" i="1"/>
  <c r="R130" i="1" s="1" a="1"/>
  <c r="R130" i="1" s="1"/>
  <c r="L131" i="1"/>
  <c r="R131" i="1" s="1" a="1"/>
  <c r="R131" i="1" s="1"/>
  <c r="L132" i="1"/>
  <c r="R132" i="1" s="1" a="1"/>
  <c r="R132" i="1" s="1"/>
  <c r="L133" i="1"/>
  <c r="R133" i="1" s="1" a="1"/>
  <c r="R133" i="1" s="1"/>
  <c r="L134" i="1"/>
  <c r="R134" i="1" s="1" a="1"/>
  <c r="R134" i="1" s="1"/>
  <c r="L135" i="1"/>
  <c r="R135" i="1" s="1" a="1"/>
  <c r="R135" i="1" s="1"/>
  <c r="L136" i="1"/>
  <c r="R136" i="1" s="1" a="1"/>
  <c r="R136" i="1" s="1"/>
  <c r="L137" i="1"/>
  <c r="R137" i="1" s="1" a="1"/>
  <c r="R137" i="1" s="1"/>
  <c r="L138" i="1"/>
  <c r="R138" i="1" s="1" a="1"/>
  <c r="R138" i="1" s="1"/>
  <c r="L139" i="1"/>
  <c r="R139" i="1" s="1" a="1"/>
  <c r="R139" i="1" s="1"/>
  <c r="L140" i="1"/>
  <c r="R140" i="1" s="1" a="1"/>
  <c r="R140" i="1" s="1"/>
  <c r="L141" i="1"/>
  <c r="R141" i="1" s="1" a="1"/>
  <c r="R141" i="1" s="1"/>
  <c r="L142" i="1"/>
  <c r="R142" i="1" s="1" a="1"/>
  <c r="R142" i="1" s="1"/>
  <c r="L143" i="1"/>
  <c r="R143" i="1" s="1" a="1"/>
  <c r="R143" i="1" s="1"/>
  <c r="L144" i="1"/>
  <c r="R144" i="1" s="1" a="1"/>
  <c r="R144" i="1" s="1"/>
  <c r="L145" i="1"/>
  <c r="R145" i="1" s="1" a="1"/>
  <c r="R145" i="1" s="1"/>
  <c r="L146" i="1"/>
  <c r="R146" i="1" s="1" a="1"/>
  <c r="R146" i="1" s="1"/>
  <c r="L147" i="1"/>
  <c r="R147" i="1" s="1" a="1"/>
  <c r="R147" i="1" s="1"/>
  <c r="L148" i="1"/>
  <c r="R148" i="1" s="1" a="1"/>
  <c r="R148" i="1" s="1"/>
  <c r="L149" i="1"/>
  <c r="R149" i="1" s="1" a="1"/>
  <c r="R149" i="1" s="1"/>
  <c r="L150" i="1"/>
  <c r="R150" i="1" s="1" a="1"/>
  <c r="R150" i="1" s="1"/>
  <c r="L151" i="1"/>
  <c r="R151" i="1" s="1" a="1"/>
  <c r="R151" i="1" s="1"/>
  <c r="L152" i="1"/>
  <c r="R152" i="1" s="1" a="1"/>
  <c r="R152" i="1" s="1"/>
  <c r="L153" i="1"/>
  <c r="R153" i="1" s="1" a="1"/>
  <c r="R153" i="1" s="1"/>
  <c r="L154" i="1"/>
  <c r="R154" i="1" s="1" a="1"/>
  <c r="R154" i="1" s="1"/>
  <c r="L155" i="1"/>
  <c r="R155" i="1" s="1" a="1"/>
  <c r="R155" i="1" s="1"/>
  <c r="L156" i="1"/>
  <c r="R156" i="1" s="1" a="1"/>
  <c r="R156" i="1" s="1"/>
  <c r="L157" i="1"/>
  <c r="R157" i="1" s="1" a="1"/>
  <c r="R157" i="1" s="1"/>
  <c r="L158" i="1"/>
  <c r="R158" i="1" s="1" a="1"/>
  <c r="R158" i="1" s="1"/>
  <c r="L159" i="1"/>
  <c r="R159" i="1" s="1" a="1"/>
  <c r="R159" i="1" s="1"/>
  <c r="L160" i="1"/>
  <c r="R160" i="1" s="1" a="1"/>
  <c r="R160" i="1" s="1"/>
  <c r="L161" i="1"/>
  <c r="R161" i="1" s="1" a="1"/>
  <c r="R161" i="1" s="1"/>
  <c r="L162" i="1"/>
  <c r="R162" i="1" s="1" a="1"/>
  <c r="R162" i="1" s="1"/>
  <c r="L163" i="1"/>
  <c r="R163" i="1" s="1" a="1"/>
  <c r="R163" i="1" s="1"/>
  <c r="L164" i="1"/>
  <c r="R164" i="1" s="1" a="1"/>
  <c r="R164" i="1" s="1"/>
  <c r="L165" i="1"/>
  <c r="R165" i="1" s="1" a="1"/>
  <c r="R165" i="1" s="1"/>
  <c r="L166" i="1"/>
  <c r="R166" i="1" s="1" a="1"/>
  <c r="R166" i="1" s="1"/>
  <c r="L167" i="1"/>
  <c r="R167" i="1" s="1" a="1"/>
  <c r="R167" i="1" s="1"/>
  <c r="L168" i="1"/>
  <c r="R168" i="1" s="1" a="1"/>
  <c r="R168" i="1" s="1"/>
  <c r="L169" i="1"/>
  <c r="R169" i="1" s="1" a="1"/>
  <c r="R169" i="1" s="1"/>
  <c r="L170" i="1"/>
  <c r="R170" i="1" s="1" a="1"/>
  <c r="R170" i="1" s="1"/>
  <c r="L171" i="1"/>
  <c r="R171" i="1" s="1" a="1"/>
  <c r="R171" i="1" s="1"/>
  <c r="L172" i="1"/>
  <c r="R172" i="1" s="1" a="1"/>
  <c r="R172" i="1" s="1"/>
  <c r="L173" i="1"/>
  <c r="R173" i="1" s="1" a="1"/>
  <c r="R173" i="1" s="1"/>
  <c r="L174" i="1"/>
  <c r="R174" i="1" s="1" a="1"/>
  <c r="R174" i="1" s="1"/>
  <c r="L175" i="1"/>
  <c r="R175" i="1" s="1" a="1"/>
  <c r="R175" i="1" s="1"/>
  <c r="L176" i="1"/>
  <c r="R176" i="1" s="1" a="1"/>
  <c r="R176" i="1" s="1"/>
  <c r="L177" i="1"/>
  <c r="R177" i="1" s="1" a="1"/>
  <c r="R177" i="1" s="1"/>
  <c r="L178" i="1"/>
  <c r="R178" i="1" s="1" a="1"/>
  <c r="R178" i="1" s="1"/>
  <c r="L179" i="1"/>
  <c r="R179" i="1" s="1" a="1"/>
  <c r="R179" i="1" s="1"/>
  <c r="L180" i="1"/>
  <c r="R180" i="1" s="1" a="1"/>
  <c r="R180" i="1" s="1"/>
  <c r="L181" i="1"/>
  <c r="R181" i="1" s="1" a="1"/>
  <c r="R181" i="1" s="1"/>
  <c r="K3" i="1"/>
  <c r="K4" i="1"/>
  <c r="K5" i="1"/>
  <c r="K6"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2" i="1"/>
  <c r="AI9" i="1" l="1"/>
  <c r="AD2" i="1" a="1"/>
  <c r="AD2" i="1" s="1"/>
  <c r="AG2" i="1" s="1" a="1"/>
  <c r="AB2" i="1" a="1"/>
  <c r="AB2" i="1" s="1"/>
  <c r="X2" i="1" a="1"/>
  <c r="U2" i="1" a="1"/>
  <c r="M191" i="1"/>
  <c r="AI3" i="1" a="1"/>
  <c r="AI3" i="1" s="1"/>
  <c r="L194" i="1"/>
  <c r="L188" i="1"/>
  <c r="O185" i="1"/>
  <c r="AI6" i="1" a="1"/>
  <c r="AI6" i="1" s="1"/>
  <c r="L185" i="1"/>
  <c r="M185" i="1"/>
  <c r="AG2" i="1" l="1"/>
  <c r="AG7" i="1" s="1"/>
  <c r="X2" i="1"/>
  <c r="Y3" i="1"/>
  <c r="Y7" i="1"/>
  <c r="Y11" i="1"/>
  <c r="Y6" i="1"/>
  <c r="Y4" i="1"/>
  <c r="Y8" i="1"/>
  <c r="Y12" i="1"/>
  <c r="Y5" i="1"/>
  <c r="Y9" i="1"/>
  <c r="Y13" i="1"/>
  <c r="Y10" i="1"/>
  <c r="U2" i="1"/>
  <c r="V2" i="1" s="1"/>
  <c r="V5" i="1"/>
  <c r="V9" i="1"/>
  <c r="V7" i="1"/>
  <c r="V11" i="1"/>
  <c r="V4" i="1"/>
  <c r="V8" i="1"/>
  <c r="V6" i="1"/>
  <c r="V10" i="1"/>
  <c r="V3" i="1"/>
  <c r="Y2" i="1" l="1"/>
  <c r="Z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A008F8-1786-4C7D-AE58-3347534604B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66E11CAA-9C13-4DA3-825B-E2688430B93C}" keepAlive="1" name="Query - Table6" description="Connection to the 'Table6' query in the workbook." type="5" refreshedVersion="0" background="1">
    <dbPr connection="Provider=Microsoft.Mashup.OleDb.1;Data Source=$Workbook$;Location=Table6;Extended Properties=&quot;&quot;" command="SELECT * FROM [Table6]"/>
  </connection>
  <connection id="3" xr16:uid="{3E3E0DC8-360B-480B-A47E-7553F18EFF96}" keepAlive="1" name="Query - Table6_1" description="Connection to the 'Table6_1' query in the workbook." type="5" refreshedVersion="8" background="1" saveData="1">
    <dbPr connection="Provider=Microsoft.Mashup.OleDb.1;Data Source=$Workbook$;Location=Table6_1;Extended Properties=&quot;&quot;" command="SELECT * FROM [Table6_1]"/>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<sst xmlns="http://schemas.openxmlformats.org/spreadsheetml/2006/main" count="2458" uniqueCount="103">
  <si>
    <t>Date</t>
  </si>
  <si>
    <t>Employee</t>
  </si>
  <si>
    <t>Region</t>
  </si>
  <si>
    <t>Product</t>
  </si>
  <si>
    <t>Quantity</t>
  </si>
  <si>
    <t>UnitPrice</t>
  </si>
  <si>
    <t>Discount%</t>
  </si>
  <si>
    <t>TotalSales</t>
  </si>
  <si>
    <t>Neha</t>
  </si>
  <si>
    <t>Printer</t>
  </si>
  <si>
    <t>Preeti</t>
  </si>
  <si>
    <t>South</t>
  </si>
  <si>
    <t>Saanvi</t>
  </si>
  <si>
    <t>Northeast</t>
  </si>
  <si>
    <t>Mouse</t>
  </si>
  <si>
    <t>Rahul</t>
  </si>
  <si>
    <t>North</t>
  </si>
  <si>
    <t>Router</t>
  </si>
  <si>
    <t>Arjun</t>
  </si>
  <si>
    <t>Monitor</t>
  </si>
  <si>
    <t>Southwest</t>
  </si>
  <si>
    <t>Webcam</t>
  </si>
  <si>
    <t>Aarav</t>
  </si>
  <si>
    <t>Laptop</t>
  </si>
  <si>
    <t>Sourav</t>
  </si>
  <si>
    <t>Northwest</t>
  </si>
  <si>
    <t>Kabir</t>
  </si>
  <si>
    <t>Lakshmi</t>
  </si>
  <si>
    <t>Speaker</t>
  </si>
  <si>
    <t>Mihir</t>
  </si>
  <si>
    <t>Keyboard</t>
  </si>
  <si>
    <t>Rhea</t>
  </si>
  <si>
    <t>Headphones</t>
  </si>
  <si>
    <t>Siddharth</t>
  </si>
  <si>
    <t>East</t>
  </si>
  <si>
    <t>Aisha</t>
  </si>
  <si>
    <t>West</t>
  </si>
  <si>
    <t>Ishita</t>
  </si>
  <si>
    <t>Smartphone</t>
  </si>
  <si>
    <t>Karan</t>
  </si>
  <si>
    <t>Central</t>
  </si>
  <si>
    <t>Southeast</t>
  </si>
  <si>
    <t>Tablet</t>
  </si>
  <si>
    <t>Nisha</t>
  </si>
  <si>
    <t>Ritika</t>
  </si>
  <si>
    <t>Diya</t>
  </si>
  <si>
    <t>Jasmin</t>
  </si>
  <si>
    <t>Tanya</t>
  </si>
  <si>
    <t>Zara</t>
  </si>
  <si>
    <t>Vivaan</t>
  </si>
  <si>
    <t>Omkar</t>
  </si>
  <si>
    <t>Vikram</t>
  </si>
  <si>
    <t>Rohan S</t>
  </si>
  <si>
    <t>Charger</t>
  </si>
  <si>
    <t>Harsh</t>
  </si>
  <si>
    <t>Meera</t>
  </si>
  <si>
    <t>Ananya</t>
  </si>
  <si>
    <t>Yuvraj</t>
  </si>
  <si>
    <t>Rohan</t>
  </si>
  <si>
    <t>Cleaned Employees</t>
  </si>
  <si>
    <t>Cleaned Region</t>
  </si>
  <si>
    <t>Cleaned Product</t>
  </si>
  <si>
    <t>Cleaned Quantity</t>
  </si>
  <si>
    <t>Cleaned UnitPrice</t>
  </si>
  <si>
    <t>Cleaned Discount</t>
  </si>
  <si>
    <t>Cleaned TotalSales</t>
  </si>
  <si>
    <t>Total Units</t>
  </si>
  <si>
    <t>Count Unit Price</t>
  </si>
  <si>
    <t>Non empty employees</t>
  </si>
  <si>
    <t>Empty employees</t>
  </si>
  <si>
    <t>Total sales for laptop</t>
  </si>
  <si>
    <t>Total quantity in north region</t>
  </si>
  <si>
    <t>Average unit price of smartphone</t>
  </si>
  <si>
    <t>Average unit quantity for Southwest region</t>
  </si>
  <si>
    <t>SUMPRODUCT - Total revenue (Quantity × UnitPrice)</t>
  </si>
  <si>
    <t>SUMPRODUCT - Weighted discount impact(qty*unit_price*dis)</t>
  </si>
  <si>
    <t>Sales Type</t>
  </si>
  <si>
    <t>Discount Used</t>
  </si>
  <si>
    <t>Sales Value Category</t>
  </si>
  <si>
    <t>Unique Region</t>
  </si>
  <si>
    <t>Sum of total sales based on region</t>
  </si>
  <si>
    <t>Unique Products</t>
  </si>
  <si>
    <t>Total sales by products</t>
  </si>
  <si>
    <t>Unique Employees</t>
  </si>
  <si>
    <t>5 Employees</t>
  </si>
  <si>
    <t>Total sales of any 5 employees</t>
  </si>
  <si>
    <t>Using AVERAGEIF, find the average Discount% applied on Monitor sales.</t>
  </si>
  <si>
    <t>Price Category</t>
  </si>
  <si>
    <t>Qunatity Sold</t>
  </si>
  <si>
    <t>Unknown</t>
  </si>
  <si>
    <t>Year</t>
  </si>
  <si>
    <t>Month</t>
  </si>
  <si>
    <t>Quarter</t>
  </si>
  <si>
    <t>Week of Month</t>
  </si>
  <si>
    <t>Day of Year</t>
  </si>
  <si>
    <t>Row Labels</t>
  </si>
  <si>
    <t>Grand Total</t>
  </si>
  <si>
    <t>Sum of Quantity</t>
  </si>
  <si>
    <t>Sum of TotalSales</t>
  </si>
  <si>
    <t>Details for Sum of TotalSales - Month: 6</t>
  </si>
  <si>
    <t>Details for Sum of TotalSales - Quarter: 1</t>
  </si>
  <si>
    <t>Sum of UnitPrice</t>
  </si>
  <si>
    <t>Details for Sum of TotalSales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</si>
</sst>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0" fillId="0" borderId="0" xfId="0" applyAlignment="1">
      <alignment vertical="center" wrapText="1"/>
    </xf>
    <xf numFmtId="0" fontId="1" fillId="0" borderId="0" xfId="0" applyFont="1"/>
    <xf numFmtId="164" fontId="1" fillId="0" borderId="0" xfId="0" applyNumberFormat="1" applyFont="1"/>
    <xf numFmtId="0" fontId="1" fillId="0" borderId="0" xfId="0" applyFont="1" applyAlignment="1">
      <alignment vertical="center"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0">
    <dxf>
      <numFmt numFmtId="19" formatCode="m/d/yyyy"/>
    </dxf>
    <dxf>
      <numFmt numFmtId="0" formatCode="General"/>
    </dxf>
    <dxf>
      <numFmt numFmtId="0" formatCode="General"/>
    </dxf>
    <dxf>
      <numFmt numFmtId="0" formatCode="General"/>
    </dxf>
    <dxf>
      <numFmt numFmtId="19" formatCode="m/d/yyyy"/>
    </dxf>
    <dxf>
      <numFmt numFmtId="19" formatCode="m/d/yyyy"/>
    </dxf>
    <dxf>
      <numFmt numFmtId="19" formatCode="m/d/yyyy"/>
    </dxf>
    <dxf>
      <numFmt numFmtId="164" formatCode="yyyy\-mm\-dd"/>
    </dxf>
    <dxf>
      <font>
        <b/>
      </font>
    </dxf>
    <dxf>
      <numFmt numFmtId="164" formatCode="yyyy\-mm\-dd"/>
    </dxf>
  </dxfs>
  <tableStyles count="1" defaultTableStyle="TableStyleMedium9" defaultPivotStyle="PivotStyleLight16">
    <tableStyle name="Slicer Style 1" pivot="0" table="0" count="0" xr9:uid="{7B61E456-E79F-4DCF-B804-2145E511C74F}"/>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'Sales Data'!$V$1</c:f>
              <c:strCache>
                <c:ptCount val="1"/>
                <c:pt idx="0">
                  <c:v>Sum of total sales based on region</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'Sales Data'!$U$2:$U$11</c:f>
              <c:strCache>
                <c:ptCount val="10"/>
                <c:pt idx="0">
                  <c:v>Unknown</c:v>
                </c:pt>
                <c:pt idx="1">
                  <c:v>South</c:v>
                </c:pt>
                <c:pt idx="2">
                  <c:v>Northeast</c:v>
                </c:pt>
                <c:pt idx="3">
                  <c:v>North</c:v>
                </c:pt>
                <c:pt idx="4">
                  <c:v>Southwest</c:v>
                </c:pt>
                <c:pt idx="5">
                  <c:v>Northwest</c:v>
                </c:pt>
                <c:pt idx="6">
                  <c:v>East</c:v>
                </c:pt>
                <c:pt idx="7">
                  <c:v>West</c:v>
                </c:pt>
                <c:pt idx="8">
                  <c:v>Central</c:v>
                </c:pt>
                <c:pt idx="9">
                  <c:v>Southeast</c:v>
                </c:pt>
              </c:strCache>
            </c:strRef>
          </c:cat>
          <c:val>
            <c:numRef>
              <c:f>'Sales Data'!$V$2:$V$11</c:f>
              <c:numCache>
                <c:formatCode>General</c:formatCode>
                <c:ptCount val="10"/>
                <c:pt idx="0">
                  <c:v>2241373.9499999997</c:v>
                </c:pt>
                <c:pt idx="1">
                  <c:v>3584302.1999999993</c:v>
                </c:pt>
                <c:pt idx="2">
                  <c:v>4071130.3</c:v>
                </c:pt>
                <c:pt idx="3">
                  <c:v>1990153.9500000002</c:v>
                </c:pt>
                <c:pt idx="4">
                  <c:v>5433275.7999999998</c:v>
                </c:pt>
                <c:pt idx="5">
                  <c:v>3248425.5999999996</c:v>
                </c:pt>
                <c:pt idx="6">
                  <c:v>4094539.7499999995</c:v>
                </c:pt>
                <c:pt idx="7">
                  <c:v>1368787.1</c:v>
                </c:pt>
                <c:pt idx="8">
                  <c:v>2384943.5499999998</c:v>
                </c:pt>
                <c:pt idx="9">
                  <c:v>3028563.05</c:v>
                </c:pt>
              </c:numCache>
            </c:numRef>
          </c:val>
          <c:extLst>
            <c:ext xmlns:c16="http://schemas.microsoft.com/office/drawing/2014/chart" uri="{C3380CC4-5D6E-409C-BE32-E72D297353CC}">
              <c16:uniqueId val="{00000000-91C4-4C0E-864B-8C34352A9F60}"/>
            </c:ext>
          </c:extLst>
        </c:ser>
        <c:dLbls>
          <c:showLegendKey val="0"/>
          <c:showVal val="0"/>
          <c:showCatName val="0"/>
          <c:showSerName val="0"/>
          <c:showPercent val="0"/>
          <c:showBubbleSize val="0"/>
        </c:dLbls>
        <c:gapWidth val="100"/>
        <c:overlap val="-24"/>
        <c:axId val="1853511119"/>
        <c:axId val="1853508719"/>
      </c:barChart>
      <c:catAx>
        <c:axId val="18535111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508719"/>
        <c:crosses val="autoZero"/>
        <c:auto val="1"/>
        <c:lblAlgn val="ctr"/>
        <c:lblOffset val="100"/>
        <c:noMultiLvlLbl val="0"/>
      </c:catAx>
      <c:valAx>
        <c:axId val="1853508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535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'Sales Data'!$Y$1</c:f>
              <c:strCache>
                <c:ptCount val="1"/>
                <c:pt idx="0">
                  <c:v>Total sales by products</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cat>
            <c:strRef>
              <c:f>'Sales Data'!$X$2:$X$13</c:f>
              <c:strCache>
                <c:ptCount val="12"/>
                <c:pt idx="0">
                  <c:v>Printer</c:v>
                </c:pt>
                <c:pt idx="1">
                  <c:v>Mouse</c:v>
                </c:pt>
                <c:pt idx="2">
                  <c:v>Router</c:v>
                </c:pt>
                <c:pt idx="3">
                  <c:v>Monitor</c:v>
                </c:pt>
                <c:pt idx="4">
                  <c:v>Webcam</c:v>
                </c:pt>
                <c:pt idx="5">
                  <c:v>Laptop</c:v>
                </c:pt>
                <c:pt idx="6">
                  <c:v>Speaker</c:v>
                </c:pt>
                <c:pt idx="7">
                  <c:v>Keyboard</c:v>
                </c:pt>
                <c:pt idx="8">
                  <c:v>Headphones</c:v>
                </c:pt>
                <c:pt idx="9">
                  <c:v>Smartphone</c:v>
                </c:pt>
                <c:pt idx="10">
                  <c:v>Tablet</c:v>
                </c:pt>
                <c:pt idx="11">
                  <c:v>Charger</c:v>
                </c:pt>
              </c:strCache>
            </c:strRef>
          </c:cat>
          <c:val>
            <c:numRef>
              <c:f>'Sales Data'!$Y$2:$Y$13</c:f>
              <c:numCache>
                <c:formatCode>General</c:formatCode>
                <c:ptCount val="12"/>
                <c:pt idx="0">
                  <c:v>2286583.75</c:v>
                </c:pt>
                <c:pt idx="1">
                  <c:v>552907.15</c:v>
                </c:pt>
                <c:pt idx="2">
                  <c:v>910117</c:v>
                </c:pt>
                <c:pt idx="3">
                  <c:v>2793786.8</c:v>
                </c:pt>
                <c:pt idx="4">
                  <c:v>696101</c:v>
                </c:pt>
                <c:pt idx="5">
                  <c:v>14717019</c:v>
                </c:pt>
                <c:pt idx="6">
                  <c:v>864749.90000000014</c:v>
                </c:pt>
                <c:pt idx="7">
                  <c:v>368551.95</c:v>
                </c:pt>
                <c:pt idx="8">
                  <c:v>804927.60000000009</c:v>
                </c:pt>
                <c:pt idx="9">
                  <c:v>2939493.8500000006</c:v>
                </c:pt>
                <c:pt idx="10">
                  <c:v>4093454.9499999997</c:v>
                </c:pt>
                <c:pt idx="11">
                  <c:v>417802.29999999993</c:v>
                </c:pt>
              </c:numCache>
            </c:numRef>
          </c:val>
          <c:smooth val="0"/>
          <c:extLst>
            <c:ext xmlns:c16="http://schemas.microsoft.com/office/drawing/2014/chart" uri="{C3380CC4-5D6E-409C-BE32-E72D297353CC}">
              <c16:uniqueId val="{00000000-C4CC-4A53-8966-4702799FA5C7}"/>
            </c:ext>
          </c:extLst>
        </c:ser>
        <c:dLbls>
          <c:showLegendKey val="0"/>
          <c:showVal val="0"/>
          <c:showCatName val="0"/>
          <c:showSerName val="0"/>
          <c:showPercent val="0"/>
          <c:showBubbleSize val="0"/>
        </c:dLbls>
        <c:smooth val="0"/>
        <c:axId val="950335248"/>
        <c:axId val="950335728"/>
      </c:lineChart>
      <c:catAx>
        <c:axId val="9503352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335728"/>
        <c:crosses val="autoZero"/>
        <c:auto val="1"/>
        <c:lblAlgn val="ctr"/>
        <c:lblOffset val="100"/>
        <c:noMultiLvlLbl val="0"/>
      </c:catAx>
      <c:valAx>
        <c:axId val="950335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33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Qunatity Sold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Data'!$Z$1</c:f>
              <c:strCache>
                <c:ptCount val="1"/>
                <c:pt idx="0">
                  <c:v>Qunatity Sold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Data'!$X$2:$X$13</c:f>
              <c:strCache>
                <c:ptCount val="12"/>
                <c:pt idx="0">
                  <c:v>Printer</c:v>
                </c:pt>
                <c:pt idx="1">
                  <c:v>Mouse</c:v>
                </c:pt>
                <c:pt idx="2">
                  <c:v>Router</c:v>
                </c:pt>
                <c:pt idx="3">
                  <c:v>Monitor</c:v>
                </c:pt>
                <c:pt idx="4">
                  <c:v>Webcam</c:v>
                </c:pt>
                <c:pt idx="5">
                  <c:v>Laptop</c:v>
                </c:pt>
                <c:pt idx="6">
                  <c:v>Speaker</c:v>
                </c:pt>
                <c:pt idx="7">
                  <c:v>Keyboard</c:v>
                </c:pt>
                <c:pt idx="8">
                  <c:v>Headphones</c:v>
                </c:pt>
                <c:pt idx="9">
                  <c:v>Smartphone</c:v>
                </c:pt>
                <c:pt idx="10">
                  <c:v>Tablet</c:v>
                </c:pt>
                <c:pt idx="11">
                  <c:v>Charger</c:v>
                </c:pt>
              </c:strCache>
            </c:strRef>
          </c:cat>
          <c:val>
            <c:numRef>
              <c:f>'Sales Data'!$Z$2:$Z$13</c:f>
              <c:numCache>
                <c:formatCode>General</c:formatCode>
                <c:ptCount val="12"/>
                <c:pt idx="0">
                  <c:v>282</c:v>
                </c:pt>
                <c:pt idx="1">
                  <c:v>210</c:v>
                </c:pt>
                <c:pt idx="2">
                  <c:v>252</c:v>
                </c:pt>
                <c:pt idx="3">
                  <c:v>212</c:v>
                </c:pt>
                <c:pt idx="4">
                  <c:v>247</c:v>
                </c:pt>
                <c:pt idx="5">
                  <c:v>321</c:v>
                </c:pt>
                <c:pt idx="6">
                  <c:v>230</c:v>
                </c:pt>
                <c:pt idx="7">
                  <c:v>181</c:v>
                </c:pt>
                <c:pt idx="8">
                  <c:v>227</c:v>
                </c:pt>
                <c:pt idx="9">
                  <c:v>133</c:v>
                </c:pt>
                <c:pt idx="10">
                  <c:v>175</c:v>
                </c:pt>
                <c:pt idx="11">
                  <c:v>261</c:v>
                </c:pt>
              </c:numCache>
            </c:numRef>
          </c:val>
          <c:extLst>
            <c:ext xmlns:c16="http://schemas.microsoft.com/office/drawing/2014/chart" uri="{C3380CC4-5D6E-409C-BE32-E72D297353CC}">
              <c16:uniqueId val="{00000000-8E0A-43EF-A15A-7E33A3ED95C8}"/>
            </c:ext>
          </c:extLst>
        </c:ser>
        <c:dLbls>
          <c:showLegendKey val="0"/>
          <c:showVal val="1"/>
          <c:showCatName val="0"/>
          <c:showSerName val="0"/>
          <c:showPercent val="0"/>
          <c:showBubbleSize val="0"/>
        </c:dLbls>
        <c:gapWidth val="150"/>
        <c:shape val="box"/>
        <c:axId val="950278608"/>
        <c:axId val="950279568"/>
        <c:axId val="0"/>
      </c:bar3DChart>
      <c:catAx>
        <c:axId val="950278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279568"/>
        <c:crosses val="autoZero"/>
        <c:auto val="1"/>
        <c:lblAlgn val="ctr"/>
        <c:lblOffset val="100"/>
        <c:noMultiLvlLbl val="0"/>
      </c:catAx>
      <c:valAx>
        <c:axId val="950279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50278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Total</a:t>
            </a:r>
            <a:r>
              <a:rPr lang="en-US" baseline="0"/>
              <a:t> Quantity By region </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9895851560221639"/>
          <c:w val="0.89019685039370078"/>
          <c:h val="0.58585484106153396"/>
        </c:manualLayout>
      </c:layout>
      <c:barChart>
        <c:barDir val="col"/>
        <c:grouping val="stacked"/>
        <c:varyColors val="0"/>
        <c:ser>
          <c:idx val="0"/>
          <c:order val="0"/>
          <c:tx>
            <c:strRef>
              <c:f>Sheet4!$B$3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Sheet4!$A$4:$A$14</c:f>
              <c:strCache>
                <c:ptCount val="10"/>
                <c:pt idx="0">
                  <c:v>Central</c:v>
                </c:pt>
                <c:pt idx="1">
                  <c:v>East</c:v>
                </c:pt>
                <c:pt idx="2">
                  <c:v>North</c:v>
                </c:pt>
                <c:pt idx="3">
                  <c:v>Northeast</c:v>
                </c:pt>
                <c:pt idx="4">
                  <c:v>Northwest</c:v>
                </c:pt>
                <c:pt idx="5">
                  <c:v>South</c:v>
                </c:pt>
                <c:pt idx="6">
                  <c:v>Southeast</c:v>
                </c:pt>
                <c:pt idx="7">
                  <c:v>Southwest</c:v>
                </c:pt>
                <c:pt idx="8">
                  <c:v>Unknown</c:v>
                </c:pt>
                <c:pt idx="9">
                  <c:v>West</c:v>
                </c:pt>
              </c:strCache>
            </c:strRef>
          </c:cat>
          <c:val>
            <c:numRef>
              <c:f>Sheet4!$B$4:$B$14</c:f>
              <c:numCache>
                <c:formatCode>General</c:formatCode>
                <c:ptCount val="10"/>
                <c:pt idx="0">
                  <c:v>302</c:v>
                </c:pt>
                <c:pt idx="1">
                  <c:v>317</c:v>
                </c:pt>
                <c:pt idx="2">
                  <c:v>337</c:v>
                </c:pt>
                <c:pt idx="3">
                  <c:v>280</c:v>
                </c:pt>
                <c:pt idx="4">
                  <c:v>252</c:v>
                </c:pt>
                <c:pt idx="5">
                  <c:v>350</c:v>
                </c:pt>
                <c:pt idx="6">
                  <c:v>356</c:v>
                </c:pt>
                <c:pt idx="7">
                  <c:v>418</c:v>
                </c:pt>
                <c:pt idx="8">
                  <c:v>149</c:v>
                </c:pt>
                <c:pt idx="9">
                  <c:v>178</c:v>
                </c:pt>
              </c:numCache>
            </c:numRef>
          </c:val>
          <c:extLst>
            <c:ext xmlns:c16="http://schemas.microsoft.com/office/drawing/2014/chart" uri="{C3380CC4-5D6E-409C-BE32-E72D297353CC}">
              <c16:uniqueId val="{00000000-DCCF-497B-AF3C-743DA35EF1E8}"/>
            </c:ext>
          </c:extLst>
        </c:ser>
        <c:dLbls>
          <c:dLblPos val="inEnd"/>
          <c:showLegendKey val="0"/>
          <c:showVal val="1"/>
          <c:showCatName val="0"/>
          <c:showSerName val="0"/>
          <c:showPercent val="0"/>
          <c:showBubbleSize val="0"/>
        </c:dLbls>
        <c:gapWidth val="50"/>
        <c:overlap val="100"/>
        <c:axId val="123642095"/>
        <c:axId val="123640175"/>
      </c:barChart>
      <c:catAx>
        <c:axId val="123642095"/>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0175"/>
        <c:crosses val="autoZero"/>
        <c:auto val="1"/>
        <c:lblAlgn val="ctr"/>
        <c:lblOffset val="100"/>
        <c:noMultiLvlLbl val="0"/>
      </c:catAx>
      <c:valAx>
        <c:axId val="123640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499999999999999"/>
          <c:y val="0.3142107757363663"/>
          <c:w val="0.79722222222222228"/>
          <c:h val="0.68578922426363376"/>
        </c:manualLayout>
      </c:layout>
      <c:pie3DChart>
        <c:varyColors val="1"/>
        <c:ser>
          <c:idx val="0"/>
          <c:order val="0"/>
          <c:tx>
            <c:strRef>
              <c:f>Sheet4!$B$18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DD-47E3-9FC9-BEF6DCD50D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DD-47E3-9FC9-BEF6DCD50D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DD-47E3-9FC9-BEF6DCD50D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DD-47E3-9FC9-BEF6DCD50DE6}"/>
              </c:ext>
            </c:extLst>
          </c:dPt>
          <c:cat>
            <c:strRef>
              <c:f>Sheet4!$A$19:$A$23</c:f>
              <c:strCache>
                <c:ptCount val="4"/>
                <c:pt idx="0">
                  <c:v>1</c:v>
                </c:pt>
                <c:pt idx="1">
                  <c:v>2</c:v>
                </c:pt>
                <c:pt idx="2">
                  <c:v>3</c:v>
                </c:pt>
                <c:pt idx="3">
                  <c:v>4</c:v>
                </c:pt>
              </c:strCache>
            </c:strRef>
          </c:cat>
          <c:val>
            <c:numRef>
              <c:f>Sheet4!$B$19:$B$23</c:f>
              <c:numCache>
                <c:formatCode>General</c:formatCode>
                <c:ptCount val="4"/>
                <c:pt idx="0">
                  <c:v>7608971</c:v>
                </c:pt>
                <c:pt idx="1">
                  <c:v>8139097</c:v>
                </c:pt>
                <c:pt idx="2">
                  <c:v>8409785</c:v>
                </c:pt>
                <c:pt idx="3">
                  <c:v>7287645</c:v>
                </c:pt>
              </c:numCache>
            </c:numRef>
          </c:val>
          <c:extLst>
            <c:ext xmlns:c16="http://schemas.microsoft.com/office/drawing/2014/chart" uri="{C3380CC4-5D6E-409C-BE32-E72D297353CC}">
              <c16:uniqueId val="{00000000-B7E0-4C54-8406-A6399C598BF4}"/>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Sheet4!$B$30</c:f>
              <c:strCache>
                <c:ptCount val="1"/>
                <c:pt idx="0">
                  <c:v>Total</c:v>
                </c:pt>
              </c:strCache>
            </c:strRef>
          </c:tx>
          <c:spPr>
            <a:ln w="28575" cap="rnd">
              <a:solidFill>
                <a:schemeClr val="accent1"/>
              </a:solidFill>
              <a:round/>
            </a:ln>
            <a:effectLst/>
          </c:spPr>
          <c:marker>
            <c:symbol val="none"/>
          </c:marker>
          <c:cat>
            <c:strRef>
              <c:f>Sheet4!$A$31:$A$43</c:f>
              <c:strCache>
                <c:ptCount val="12"/>
                <c:pt idx="0">
                  <c:v>Charger</c:v>
                </c:pt>
                <c:pt idx="1">
                  <c:v>Headphones</c:v>
                </c:pt>
                <c:pt idx="2">
                  <c:v>Keyboard</c:v>
                </c:pt>
                <c:pt idx="3">
                  <c:v>Laptop</c:v>
                </c:pt>
                <c:pt idx="4">
                  <c:v>Monitor</c:v>
                </c:pt>
                <c:pt idx="5">
                  <c:v>Mouse</c:v>
                </c:pt>
                <c:pt idx="6">
                  <c:v>Printer</c:v>
                </c:pt>
                <c:pt idx="7">
                  <c:v>Router</c:v>
                </c:pt>
                <c:pt idx="8">
                  <c:v>Smartphone</c:v>
                </c:pt>
                <c:pt idx="9">
                  <c:v>Speaker</c:v>
                </c:pt>
                <c:pt idx="10">
                  <c:v>Tablet</c:v>
                </c:pt>
                <c:pt idx="11">
                  <c:v>Webcam</c:v>
                </c:pt>
              </c:strCache>
            </c:strRef>
          </c:cat>
          <c:val>
            <c:numRef>
              <c:f>Sheet4!$B$31:$B$43</c:f>
              <c:numCache>
                <c:formatCode>General</c:formatCode>
                <c:ptCount val="12"/>
                <c:pt idx="0">
                  <c:v>27436</c:v>
                </c:pt>
                <c:pt idx="1">
                  <c:v>56831</c:v>
                </c:pt>
                <c:pt idx="2">
                  <c:v>25065</c:v>
                </c:pt>
                <c:pt idx="3">
                  <c:v>942412</c:v>
                </c:pt>
                <c:pt idx="4">
                  <c:v>209477</c:v>
                </c:pt>
                <c:pt idx="5">
                  <c:v>40390</c:v>
                </c:pt>
                <c:pt idx="6">
                  <c:v>154338</c:v>
                </c:pt>
                <c:pt idx="7">
                  <c:v>62862</c:v>
                </c:pt>
                <c:pt idx="8">
                  <c:v>223254</c:v>
                </c:pt>
                <c:pt idx="9">
                  <c:v>48859</c:v>
                </c:pt>
                <c:pt idx="10">
                  <c:v>236496</c:v>
                </c:pt>
                <c:pt idx="11">
                  <c:v>37494</c:v>
                </c:pt>
              </c:numCache>
            </c:numRef>
          </c:val>
          <c:smooth val="0"/>
          <c:extLst>
            <c:ext xmlns:c16="http://schemas.microsoft.com/office/drawing/2014/chart" uri="{C3380CC4-5D6E-409C-BE32-E72D297353CC}">
              <c16:uniqueId val="{00000000-2395-4887-BC0E-217AC589969A}"/>
            </c:ext>
          </c:extLst>
        </c:ser>
        <c:dLbls>
          <c:showLegendKey val="0"/>
          <c:showVal val="0"/>
          <c:showCatName val="0"/>
          <c:showSerName val="0"/>
          <c:showPercent val="0"/>
          <c:showBubbleSize val="0"/>
        </c:dLbls>
        <c:smooth val="0"/>
        <c:axId val="1383850688"/>
        <c:axId val="1383852608"/>
      </c:lineChart>
      <c:catAx>
        <c:axId val="138385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52608"/>
        <c:crosses val="autoZero"/>
        <c:auto val="1"/>
        <c:lblAlgn val="ctr"/>
        <c:lblOffset val="100"/>
        <c:noMultiLvlLbl val="0"/>
      </c:catAx>
      <c:valAx>
        <c:axId val="138385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385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Sheet4!$B$46</c:f>
              <c:strCache>
                <c:ptCount val="1"/>
                <c:pt idx="0">
                  <c:v>Total</c:v>
                </c:pt>
              </c:strCache>
            </c:strRef>
          </c:tx>
          <c:spPr>
            <a:solidFill>
              <a:schemeClr val="accent1"/>
            </a:solidFill>
            <a:ln>
              <a:noFill/>
            </a:ln>
            <a:effectLst/>
            <a:sp3d/>
          </c:spPr>
          <c:invertIfNegative val="0"/>
          <c:cat>
            <c:strRef>
              <c:f>Sheet4!$A$47:$A$51</c:f>
              <c:strCache>
                <c:ptCount val="4"/>
                <c:pt idx="0">
                  <c:v>1</c:v>
                </c:pt>
                <c:pt idx="1">
                  <c:v>2</c:v>
                </c:pt>
                <c:pt idx="2">
                  <c:v>3</c:v>
                </c:pt>
                <c:pt idx="3">
                  <c:v>4</c:v>
                </c:pt>
              </c:strCache>
            </c:strRef>
          </c:cat>
          <c:val>
            <c:numRef>
              <c:f>Sheet4!$B$47:$B$51</c:f>
              <c:numCache>
                <c:formatCode>General</c:formatCode>
                <c:ptCount val="4"/>
                <c:pt idx="0">
                  <c:v>687</c:v>
                </c:pt>
                <c:pt idx="1">
                  <c:v>706</c:v>
                </c:pt>
                <c:pt idx="2">
                  <c:v>757</c:v>
                </c:pt>
                <c:pt idx="3">
                  <c:v>789</c:v>
                </c:pt>
              </c:numCache>
            </c:numRef>
          </c:val>
          <c:extLst>
            <c:ext xmlns:c16="http://schemas.microsoft.com/office/drawing/2014/chart" uri="{C3380CC4-5D6E-409C-BE32-E72D297353CC}">
              <c16:uniqueId val="{00000000-004D-4E9B-A385-75509A08243A}"/>
            </c:ext>
          </c:extLst>
        </c:ser>
        <c:dLbls>
          <c:showLegendKey val="0"/>
          <c:showVal val="0"/>
          <c:showCatName val="0"/>
          <c:showSerName val="0"/>
          <c:showPercent val="0"/>
          <c:showBubbleSize val="0"/>
        </c:dLbls>
        <c:gapWidth val="150"/>
        <c:shape val="box"/>
        <c:axId val="723664352"/>
        <c:axId val="723666272"/>
        <c:axId val="716820656"/>
      </c:bar3DChart>
      <c:catAx>
        <c:axId val="723664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6272"/>
        <c:crosses val="autoZero"/>
        <c:auto val="1"/>
        <c:lblAlgn val="ctr"/>
        <c:lblOffset val="100"/>
        <c:noMultiLvlLbl val="0"/>
      </c:catAx>
      <c:valAx>
        <c:axId val="723666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4352"/>
        <c:crosses val="autoZero"/>
        <c:crossBetween val="between"/>
      </c:valAx>
      <c:serAx>
        <c:axId val="71682065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6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Sheet4!$B$69</c:f>
              <c:strCache>
                <c:ptCount val="1"/>
                <c:pt idx="0">
                  <c:v>Total</c:v>
                </c:pt>
              </c:strCache>
            </c:strRef>
          </c:tx>
          <c:spPr>
            <a:solidFill>
              <a:schemeClr val="accent1"/>
            </a:solidFill>
            <a:ln>
              <a:noFill/>
            </a:ln>
            <a:effectLst/>
          </c:spPr>
          <c:invertIfNegative val="0"/>
          <c:cat>
            <c:strRef>
              <c:f>Sheet4!$A$70:$A$80</c:f>
              <c:strCache>
                <c:ptCount val="10"/>
                <c:pt idx="0">
                  <c:v>Central</c:v>
                </c:pt>
                <c:pt idx="1">
                  <c:v>East</c:v>
                </c:pt>
                <c:pt idx="2">
                  <c:v>North</c:v>
                </c:pt>
                <c:pt idx="3">
                  <c:v>Northeast</c:v>
                </c:pt>
                <c:pt idx="4">
                  <c:v>Northwest</c:v>
                </c:pt>
                <c:pt idx="5">
                  <c:v>South</c:v>
                </c:pt>
                <c:pt idx="6">
                  <c:v>Southeast</c:v>
                </c:pt>
                <c:pt idx="7">
                  <c:v>Southwest</c:v>
                </c:pt>
                <c:pt idx="8">
                  <c:v>Unknown</c:v>
                </c:pt>
                <c:pt idx="9">
                  <c:v>West</c:v>
                </c:pt>
              </c:strCache>
            </c:strRef>
          </c:cat>
          <c:val>
            <c:numRef>
              <c:f>Sheet4!$B$70:$B$80</c:f>
              <c:numCache>
                <c:formatCode>General</c:formatCode>
                <c:ptCount val="10"/>
                <c:pt idx="0">
                  <c:v>2384945</c:v>
                </c:pt>
                <c:pt idx="1">
                  <c:v>4094540</c:v>
                </c:pt>
                <c:pt idx="2">
                  <c:v>1990155</c:v>
                </c:pt>
                <c:pt idx="3">
                  <c:v>4071131</c:v>
                </c:pt>
                <c:pt idx="4">
                  <c:v>3248425</c:v>
                </c:pt>
                <c:pt idx="5">
                  <c:v>3584302</c:v>
                </c:pt>
                <c:pt idx="6">
                  <c:v>3028564</c:v>
                </c:pt>
                <c:pt idx="7">
                  <c:v>5433274</c:v>
                </c:pt>
                <c:pt idx="8">
                  <c:v>2241375</c:v>
                </c:pt>
                <c:pt idx="9">
                  <c:v>1368787</c:v>
                </c:pt>
              </c:numCache>
            </c:numRef>
          </c:val>
          <c:extLst>
            <c:ext xmlns:c16="http://schemas.microsoft.com/office/drawing/2014/chart" uri="{C3380CC4-5D6E-409C-BE32-E72D297353CC}">
              <c16:uniqueId val="{00000000-7846-43C0-B4E6-66BB76D80267}"/>
            </c:ext>
          </c:extLst>
        </c:ser>
        <c:dLbls>
          <c:showLegendKey val="0"/>
          <c:showVal val="0"/>
          <c:showCatName val="0"/>
          <c:showSerName val="0"/>
          <c:showPercent val="0"/>
          <c:showBubbleSize val="0"/>
        </c:dLbls>
        <c:gapWidth val="182"/>
        <c:axId val="723678752"/>
        <c:axId val="723689792"/>
      </c:barChart>
      <c:catAx>
        <c:axId val="7236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89792"/>
        <c:crosses val="autoZero"/>
        <c:auto val="1"/>
        <c:lblAlgn val="ctr"/>
        <c:lblOffset val="100"/>
        <c:noMultiLvlLbl val="0"/>
      </c:catAx>
      <c:valAx>
        <c:axId val="72368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7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[Sales_Data.xlsx]Sheet4!PivotTable1</c:name>
    <c:fmtId val="1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400">
                <a:solidFill>
                  <a:schemeClr val="tx2"/>
                </a:solidFill>
              </a:rPr>
              <a:t>Total</a:t>
            </a:r>
            <a:r>
              <a:rPr lang="en-US" sz="1400" baseline="0">
                <a:solidFill>
                  <a:schemeClr val="tx2"/>
                </a:solidFill>
              </a:rPr>
              <a:t> Quantity By region </a:t>
            </a:r>
            <a:endParaRPr lang="en-US" sz="1400">
              <a:solidFill>
                <a:schemeClr val="tx2"/>
              </a:solidFill>
            </a:endParaRPr>
          </a:p>
        </c:rich>
      </c:tx>
      <c:layout>
        <c:manualLayout>
          <c:xMode val="edge"/>
          <c:yMode val="edge"/>
          <c:x val="0.15944097490560305"/>
          <c:y val="0"/>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965518469474924E-2"/>
          <c:y val="0.15350941350299871"/>
          <c:w val="0.89019685039370078"/>
          <c:h val="0.58585484106153396"/>
        </c:manualLayout>
      </c:layout>
      <c:barChart>
        <c:barDir val="col"/>
        <c:grouping val="stacked"/>
        <c:varyColors val="0"/>
        <c:ser>
          <c:idx val="0"/>
          <c:order val="0"/>
          <c:tx>
            <c:strRef>
              <c:f>Sheet4!$B$3</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Sheet4!$A$4:$A$14</c:f>
              <c:strCache>
                <c:ptCount val="10"/>
                <c:pt idx="0">
                  <c:v>Central</c:v>
                </c:pt>
                <c:pt idx="1">
                  <c:v>East</c:v>
                </c:pt>
                <c:pt idx="2">
                  <c:v>North</c:v>
                </c:pt>
                <c:pt idx="3">
                  <c:v>Northeast</c:v>
                </c:pt>
                <c:pt idx="4">
                  <c:v>Northwest</c:v>
                </c:pt>
                <c:pt idx="5">
                  <c:v>South</c:v>
                </c:pt>
                <c:pt idx="6">
                  <c:v>Southeast</c:v>
                </c:pt>
                <c:pt idx="7">
                  <c:v>Southwest</c:v>
                </c:pt>
                <c:pt idx="8">
                  <c:v>Unknown</c:v>
                </c:pt>
                <c:pt idx="9">
                  <c:v>West</c:v>
                </c:pt>
              </c:strCache>
            </c:strRef>
          </c:cat>
          <c:val>
            <c:numRef>
              <c:f>Sheet4!$B$4:$B$14</c:f>
              <c:numCache>
                <c:formatCode>General</c:formatCode>
                <c:ptCount val="10"/>
                <c:pt idx="0">
                  <c:v>302</c:v>
                </c:pt>
                <c:pt idx="1">
                  <c:v>317</c:v>
                </c:pt>
                <c:pt idx="2">
                  <c:v>337</c:v>
                </c:pt>
                <c:pt idx="3">
                  <c:v>280</c:v>
                </c:pt>
                <c:pt idx="4">
                  <c:v>252</c:v>
                </c:pt>
                <c:pt idx="5">
                  <c:v>350</c:v>
                </c:pt>
                <c:pt idx="6">
                  <c:v>356</c:v>
                </c:pt>
                <c:pt idx="7">
                  <c:v>418</c:v>
                </c:pt>
                <c:pt idx="8">
                  <c:v>149</c:v>
                </c:pt>
                <c:pt idx="9">
                  <c:v>178</c:v>
                </c:pt>
              </c:numCache>
            </c:numRef>
          </c:val>
          <c:extLst>
            <c:ext xmlns:c16="http://schemas.microsoft.com/office/drawing/2014/chart" uri="{C3380CC4-5D6E-409C-BE32-E72D297353CC}">
              <c16:uniqueId val="{00000000-7371-4060-86B2-209579352351}"/>
            </c:ext>
          </c:extLst>
        </c:ser>
        <c:dLbls>
          <c:dLblPos val="inEnd"/>
          <c:showLegendKey val="0"/>
          <c:showVal val="1"/>
          <c:showCatName val="0"/>
          <c:showSerName val="0"/>
          <c:showPercent val="0"/>
          <c:showBubbleSize val="0"/>
        </c:dLbls>
        <c:gapWidth val="50"/>
        <c:overlap val="100"/>
        <c:axId val="123642095"/>
        <c:axId val="123640175"/>
      </c:barChart>
      <c:catAx>
        <c:axId val="123642095"/>
        <c:scaling>
          <c:orientation val="minMax"/>
        </c:scaling>
        <c:delete val="0"/>
        <c:axPos val="b"/>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0175"/>
        <c:crosses val="autoZero"/>
        <c:auto val="1"/>
        <c:lblAlgn val="ctr"/>
        <c:lblOffset val="100"/>
        <c:noMultiLvlLbl val="0"/>
      </c:catAx>
      <c:valAx>
        <c:axId val="123640175"/>
        <c:scaling>
          <c:orientation val="minMax"/>
        </c:scaling>
        <c:delete val="1"/>
        <c:axPos val="l"/>
        <c:numFmt formatCode="General" sourceLinked="1"/>
        <c:majorTickMark val="out"/>
        <c:minorTickMark val="none"/>
        <c:tickLblPos val="nextTo"/>
        <c:crossAx val="1236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[Sales_Data.xlsx]Sheet4!PivotTable3</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a:t>TOTAL</a:t>
            </a:r>
            <a:r>
              <a:rPr lang="en-US" sz="1400" baseline="0"/>
              <a:t> SALES BY QUARTER</a:t>
            </a:r>
            <a:endParaRPr lang="en-US" sz="1400"/>
          </a:p>
        </c:rich>
      </c:tx>
      <c:layout>
        <c:manualLayout>
          <c:xMode val="edge"/>
          <c:yMode val="edge"/>
          <c:x val="0.2205909175115483"/>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lumMod val="50000"/>
            </a:schemeClr>
          </a:soli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a:outerShdw blurRad="40000" dist="23000" dir="5400000" rotWithShape="0">
              <a:srgbClr val="000000">
                <a:alpha val="35000"/>
              </a:srgbClr>
            </a:outerShdw>
          </a:effectLst>
          <a:sp3d/>
        </c:spPr>
        <c:dLbl>
          <c:idx val="0"/>
          <c:layout>
            <c:manualLayout>
              <c:x val="-0.15618349142920782"/>
              <c:y val="8.550521659243788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39DD97F3-7700-43EB-B837-411B0B84A291}"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a:outerShdw blurRad="40000" dist="23000" dir="5400000" rotWithShape="0">
              <a:srgbClr val="000000">
                <a:alpha val="35000"/>
              </a:srgbClr>
            </a:outerShdw>
          </a:effectLst>
          <a:sp3d/>
        </c:spPr>
        <c:dLbl>
          <c:idx val="0"/>
          <c:layout>
            <c:manualLayout>
              <c:x val="-0.20215999938153204"/>
              <c:y val="-0.19638969019395514"/>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ACE87A7B-DD76-47F3-B203-D4926D25EA98}"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accent5">
              <a:lumMod val="50000"/>
            </a:schemeClr>
          </a:solidFill>
          <a:ln>
            <a:noFill/>
          </a:ln>
          <a:effectLst>
            <a:outerShdw blurRad="40000" dist="23000" dir="5400000" rotWithShape="0">
              <a:srgbClr val="000000">
                <a:alpha val="35000"/>
              </a:srgbClr>
            </a:outerShdw>
          </a:effectLst>
          <a:sp3d/>
        </c:spPr>
        <c:dLbl>
          <c:idx val="0"/>
          <c:layout>
            <c:manualLayout>
              <c:x val="0.22756242589479578"/>
              <c:y val="-0.1946264618012194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3ED4BBB-B314-49A6-9030-760D898DCF69}"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tx2">
              <a:lumMod val="60000"/>
              <a:lumOff val="40000"/>
            </a:schemeClr>
          </a:solidFill>
          <a:ln>
            <a:noFill/>
          </a:ln>
          <a:effectLst>
            <a:outerShdw blurRad="40000" dist="23000" dir="5400000" rotWithShape="0">
              <a:srgbClr val="000000">
                <a:alpha val="35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8FC0A4D-62DB-4B91-8981-04299CA38403}" type="VALUE">
                  <a:rPr lang="en-US" sz="1000"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09090448363508"/>
                  <c:h val="7.7583335369641349E-2"/>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909087785515309"/>
          <c:y val="0.18569242832088614"/>
          <c:w val="0.79722222222222228"/>
          <c:h val="0.68578922426363376"/>
        </c:manualLayout>
      </c:layout>
      <c:pie3DChart>
        <c:varyColors val="1"/>
        <c:ser>
          <c:idx val="0"/>
          <c:order val="0"/>
          <c:tx>
            <c:strRef>
              <c:f>Sheet4!$B$18</c:f>
              <c:strCache>
                <c:ptCount val="1"/>
                <c:pt idx="0">
                  <c:v>Total</c:v>
                </c:pt>
              </c:strCache>
            </c:strRef>
          </c:tx>
          <c:spPr>
            <a:solidFill>
              <a:schemeClr val="accent5">
                <a:lumMod val="50000"/>
              </a:schemeClr>
            </a:solidFill>
          </c:spPr>
          <c:dPt>
            <c:idx val="0"/>
            <c:bubble3D val="0"/>
            <c:spPr>
              <a:solidFill>
                <a:schemeClr val="accent1">
                  <a:lumMod val="75000"/>
                </a:schemeClr>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1-1A61-45F7-86F7-6B2773771C92}"/>
              </c:ext>
            </c:extLst>
          </c:dPt>
          <c:dPt>
            <c:idx val="1"/>
            <c:bubble3D val="0"/>
            <c:spPr>
              <a:solidFill>
                <a:schemeClr val="accent5">
                  <a:lumMod val="75000"/>
                </a:schemeClr>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3-1A61-45F7-86F7-6B2773771C92}"/>
              </c:ext>
            </c:extLst>
          </c:dPt>
          <c:dPt>
            <c:idx val="2"/>
            <c:bubble3D val="0"/>
            <c:explosion val="11"/>
            <c:spPr>
              <a:solidFill>
                <a:schemeClr val="accent5">
                  <a:lumMod val="50000"/>
                </a:schemeClr>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5-1A61-45F7-86F7-6B2773771C92}"/>
              </c:ext>
            </c:extLst>
          </c:dPt>
          <c:dPt>
            <c:idx val="3"/>
            <c:bubble3D val="0"/>
            <c:spPr>
              <a:solidFill>
                <a:schemeClr val="tx2">
                  <a:lumMod val="60000"/>
                  <a:lumOff val="40000"/>
                </a:schemeClr>
              </a:solidFill>
              <a:ln>
                <a:noFill/>
              </a:ln>
              <a:effectLst>
                <a:outerShdw blurRad="40000" dist="23000" dir="5400000" rotWithShape="0">
                  <a:srgbClr val="000000">
                    <a:alpha val="35000"/>
                  </a:srgbClr>
                </a:outerShdw>
              </a:effectLst>
              <a:sp3d/>
            </c:spPr>
            <c:extLst>
              <c:ext xmlns:c16="http://schemas.microsoft.com/office/drawing/2014/chart" uri="{C3380CC4-5D6E-409C-BE32-E72D297353CC}">
                <c16:uniqueId val="{00000007-1A61-45F7-86F7-6B2773771C92}"/>
              </c:ext>
            </c:extLst>
          </c:dPt>
          <c:dLbls>
            <c:dLbl>
              <c:idx val="0"/>
              <c:layout>
                <c:manualLayout>
                  <c:x val="-0.15618349142920782"/>
                  <c:y val="8.5505216592437885E-2"/>
                </c:manualLayout>
              </c:layout>
              <c:tx>
                <c:rich>
                  <a:bodyPr/>
                  <a:lstStyle/>
                  <a:p>
                    <a:fld id="{39DD97F3-7700-43EB-B837-411B0B84A291}" type="VALUE">
                      <a:rPr lang="en-US" sz="10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A61-45F7-86F7-6B2773771C92}"/>
                </c:ext>
              </c:extLst>
            </c:dLbl>
            <c:dLbl>
              <c:idx val="1"/>
              <c:layout>
                <c:manualLayout>
                  <c:x val="-0.20215999938153204"/>
                  <c:y val="-0.19638969019395514"/>
                </c:manualLayout>
              </c:layout>
              <c:tx>
                <c:rich>
                  <a:bodyPr/>
                  <a:lstStyle/>
                  <a:p>
                    <a:fld id="{ACE87A7B-DD76-47F3-B203-D4926D25EA98}" type="VALUE">
                      <a:rPr lang="en-US" sz="10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A61-45F7-86F7-6B2773771C92}"/>
                </c:ext>
              </c:extLst>
            </c:dLbl>
            <c:dLbl>
              <c:idx val="2"/>
              <c:layout>
                <c:manualLayout>
                  <c:x val="0.22756242589479578"/>
                  <c:y val="-0.19462646180121948"/>
                </c:manualLayout>
              </c:layout>
              <c:tx>
                <c:rich>
                  <a:bodyPr/>
                  <a:lstStyle/>
                  <a:p>
                    <a:fld id="{43ED4BBB-B314-49A6-9030-760D898DCF69}" type="VALUE">
                      <a:rPr lang="en-US" sz="10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A61-45F7-86F7-6B2773771C92}"/>
                </c:ext>
              </c:extLst>
            </c:dLbl>
            <c:dLbl>
              <c:idx val="3"/>
              <c:tx>
                <c:rich>
                  <a:bodyPr/>
                  <a:lstStyle/>
                  <a:p>
                    <a:fld id="{08FC0A4D-62DB-4B91-8981-04299CA38403}" type="VALUE">
                      <a:rPr lang="en-US" sz="1000" b="1">
                        <a:solidFill>
                          <a:schemeClr val="bg1"/>
                        </a:solidFill>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1609090448363508"/>
                      <c:h val="7.7583335369641349E-2"/>
                    </c:manualLayout>
                  </c15:layout>
                  <c15:dlblFieldTable/>
                  <c15:showDataLabelsRange val="0"/>
                </c:ext>
                <c:ext xmlns:c16="http://schemas.microsoft.com/office/drawing/2014/chart" uri="{C3380CC4-5D6E-409C-BE32-E72D297353CC}">
                  <c16:uniqueId val="{00000007-1A61-45F7-86F7-6B2773771C9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Sheet4!$A$19:$A$23</c:f>
              <c:strCache>
                <c:ptCount val="4"/>
                <c:pt idx="0">
                  <c:v>1</c:v>
                </c:pt>
                <c:pt idx="1">
                  <c:v>2</c:v>
                </c:pt>
                <c:pt idx="2">
                  <c:v>3</c:v>
                </c:pt>
                <c:pt idx="3">
                  <c:v>4</c:v>
                </c:pt>
              </c:strCache>
            </c:strRef>
          </c:cat>
          <c:val>
            <c:numRef>
              <c:f>Sheet4!$B$19:$B$23</c:f>
              <c:numCache>
                <c:formatCode>General</c:formatCode>
                <c:ptCount val="4"/>
                <c:pt idx="0">
                  <c:v>7608971</c:v>
                </c:pt>
                <c:pt idx="1">
                  <c:v>8139097</c:v>
                </c:pt>
                <c:pt idx="2">
                  <c:v>8409785</c:v>
                </c:pt>
                <c:pt idx="3">
                  <c:v>7287645</c:v>
                </c:pt>
              </c:numCache>
            </c:numRef>
          </c:val>
          <c:extLst>
            <c:ext xmlns:c16="http://schemas.microsoft.com/office/drawing/2014/chart" uri="{C3380CC4-5D6E-409C-BE32-E72D297353CC}">
              <c16:uniqueId val="{00000008-1A61-45F7-86F7-6B2773771C92}"/>
            </c:ext>
          </c:extLst>
        </c:ser>
        <c:dLbls>
          <c:dLblPos val="bestFit"/>
          <c:showLegendKey val="0"/>
          <c:showVal val="1"/>
          <c:showCatName val="0"/>
          <c:showSerName val="0"/>
          <c:showPercent val="0"/>
          <c:showBubbleSize val="0"/>
          <c:showLeaderLines val="1"/>
        </c:dLbls>
      </c:pie3DChart>
      <c:spPr>
        <a:noFill/>
        <a:ln>
          <a:noFill/>
        </a:ln>
        <a:effectLst/>
      </c:spPr>
    </c:plotArea>
    <c:legend>
      <c:legendPos val="b"/>
      <c:layout>
        <c:manualLayout>
          <c:xMode val="edge"/>
          <c:yMode val="edge"/>
          <c:x val="9.7557595545427173E-2"/>
          <c:y val="0.89179102078191652"/>
          <c:w val="0.7903390722006951"/>
          <c:h val="7.55423116940239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[Sales_Data.xlsx]Sheet4!PivotTable2</c:name>
    <c:fmtId val="3"/>
  </c:pivotSource>
  <c:chart>
    <c:title>
      <c:tx>
        <c:rich>
          <a:bodyPr rot="0" spcFirstLastPara="1" vertOverflow="ellipsis" vert="horz" wrap="square" anchor="ctr" anchorCtr="1"/>
          <a:lstStyle/>
          <a:p>
            <a:pPr algn="ctr" rtl="0">
              <a:defRPr lang="en-US" sz="1400" b="1" i="0" u="none" strike="noStrike" kern="1200" cap="all" spc="50" baseline="0">
                <a:solidFill>
                  <a:schemeClr val="tx2"/>
                </a:solidFill>
                <a:latin typeface="+mn-lt"/>
                <a:ea typeface="+mn-ea"/>
                <a:cs typeface="+mn-cs"/>
              </a:defRPr>
            </a:pPr>
            <a:r>
              <a:rPr lang="en-US" sz="1400" b="1" i="0" u="none" strike="noStrike" kern="1200" cap="all" spc="50" baseline="0">
                <a:solidFill>
                  <a:schemeClr val="tx2"/>
                </a:solidFill>
                <a:latin typeface="+mn-lt"/>
                <a:ea typeface="+mn-ea"/>
                <a:cs typeface="+mn-cs"/>
              </a:rPr>
              <a:t>Productwise Unit Price</a:t>
            </a:r>
          </a:p>
        </c:rich>
      </c:tx>
      <c:layout>
        <c:manualLayout>
          <c:xMode val="edge"/>
          <c:yMode val="edge"/>
          <c:x val="0.28559270514235369"/>
          <c:y val="1.3611109523346803E-2"/>
        </c:manualLayout>
      </c:layout>
      <c:overlay val="0"/>
      <c:spPr>
        <a:noFill/>
        <a:ln>
          <a:noFill/>
        </a:ln>
        <a:effectLst/>
      </c:spPr>
      <c:txPr>
        <a:bodyPr rot="0" spcFirstLastPara="1" vertOverflow="ellipsis" vert="horz" wrap="square" anchor="ctr" anchorCtr="1"/>
        <a:lstStyle/>
        <a:p>
          <a:pPr algn="ctr" rtl="0">
            <a:defRPr lang="en-US" sz="1400" b="1" i="0" u="none" strike="noStrike" kern="1200" cap="all" spc="50" baseline="0">
              <a:solidFill>
                <a:schemeClr val="tx2"/>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033741723347666E-2"/>
          <c:y val="0.21422135879599202"/>
          <c:w val="0.92276071741032373"/>
          <c:h val="0.53962904903714792"/>
        </c:manualLayout>
      </c:layout>
      <c:lineChart>
        <c:grouping val="standard"/>
        <c:varyColors val="0"/>
        <c:ser>
          <c:idx val="0"/>
          <c:order val="0"/>
          <c:tx>
            <c:strRef>
              <c:f>Sheet4!$B$30</c:f>
              <c:strCache>
                <c:ptCount val="1"/>
                <c:pt idx="0">
                  <c:v>Total</c:v>
                </c:pt>
              </c:strCache>
            </c:strRef>
          </c:tx>
          <c:spPr>
            <a:ln w="28575"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Sheet4!$A$31:$A$43</c:f>
              <c:strCache>
                <c:ptCount val="12"/>
                <c:pt idx="0">
                  <c:v>Charger</c:v>
                </c:pt>
                <c:pt idx="1">
                  <c:v>Headphones</c:v>
                </c:pt>
                <c:pt idx="2">
                  <c:v>Keyboard</c:v>
                </c:pt>
                <c:pt idx="3">
                  <c:v>Laptop</c:v>
                </c:pt>
                <c:pt idx="4">
                  <c:v>Monitor</c:v>
                </c:pt>
                <c:pt idx="5">
                  <c:v>Mouse</c:v>
                </c:pt>
                <c:pt idx="6">
                  <c:v>Printer</c:v>
                </c:pt>
                <c:pt idx="7">
                  <c:v>Router</c:v>
                </c:pt>
                <c:pt idx="8">
                  <c:v>Smartphone</c:v>
                </c:pt>
                <c:pt idx="9">
                  <c:v>Speaker</c:v>
                </c:pt>
                <c:pt idx="10">
                  <c:v>Tablet</c:v>
                </c:pt>
                <c:pt idx="11">
                  <c:v>Webcam</c:v>
                </c:pt>
              </c:strCache>
            </c:strRef>
          </c:cat>
          <c:val>
            <c:numRef>
              <c:f>Sheet4!$B$31:$B$43</c:f>
              <c:numCache>
                <c:formatCode>General</c:formatCode>
                <c:ptCount val="12"/>
                <c:pt idx="0">
                  <c:v>27436</c:v>
                </c:pt>
                <c:pt idx="1">
                  <c:v>56831</c:v>
                </c:pt>
                <c:pt idx="2">
                  <c:v>25065</c:v>
                </c:pt>
                <c:pt idx="3">
                  <c:v>942412</c:v>
                </c:pt>
                <c:pt idx="4">
                  <c:v>209477</c:v>
                </c:pt>
                <c:pt idx="5">
                  <c:v>40390</c:v>
                </c:pt>
                <c:pt idx="6">
                  <c:v>154338</c:v>
                </c:pt>
                <c:pt idx="7">
                  <c:v>62862</c:v>
                </c:pt>
                <c:pt idx="8">
                  <c:v>223254</c:v>
                </c:pt>
                <c:pt idx="9">
                  <c:v>48859</c:v>
                </c:pt>
                <c:pt idx="10">
                  <c:v>236496</c:v>
                </c:pt>
                <c:pt idx="11">
                  <c:v>37494</c:v>
                </c:pt>
              </c:numCache>
            </c:numRef>
          </c:val>
          <c:smooth val="0"/>
          <c:extLst>
            <c:ext xmlns:c16="http://schemas.microsoft.com/office/drawing/2014/chart" uri="{C3380CC4-5D6E-409C-BE32-E72D297353CC}">
              <c16:uniqueId val="{00000000-5908-4CB6-BE1D-3970BA590160}"/>
            </c:ext>
          </c:extLst>
        </c:ser>
        <c:dLbls>
          <c:dLblPos val="t"/>
          <c:showLegendKey val="0"/>
          <c:showVal val="1"/>
          <c:showCatName val="0"/>
          <c:showSerName val="0"/>
          <c:showPercent val="0"/>
          <c:showBubbleSize val="0"/>
        </c:dLbls>
        <c:smooth val="0"/>
        <c:axId val="1383850688"/>
        <c:axId val="1383852608"/>
      </c:lineChart>
      <c:catAx>
        <c:axId val="1383850688"/>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crossAx val="1383852608"/>
        <c:crosses val="autoZero"/>
        <c:auto val="1"/>
        <c:lblAlgn val="ctr"/>
        <c:lblOffset val="100"/>
        <c:noMultiLvlLbl val="0"/>
      </c:catAx>
      <c:valAx>
        <c:axId val="1383852608"/>
        <c:scaling>
          <c:orientation val="minMax"/>
        </c:scaling>
        <c:delete val="1"/>
        <c:axPos val="l"/>
        <c:numFmt formatCode="General" sourceLinked="1"/>
        <c:majorTickMark val="none"/>
        <c:minorTickMark val="none"/>
        <c:tickLblPos val="nextTo"/>
        <c:crossAx val="138385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[Sales_Data.xlsx]Sheet4!PivotTable4</c:name>
    <c:fmtId val="3"/>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400" b="1" i="0" u="none" strike="noStrike" kern="1200" baseline="0">
                <a:solidFill>
                  <a:srgbClr val="1F497D"/>
                </a:solidFill>
                <a:latin typeface="+mn-lt"/>
                <a:ea typeface="+mn-ea"/>
                <a:cs typeface="+mn-cs"/>
              </a:rPr>
              <a:t>TOTAL QUANTITY BY QUARTER</a:t>
            </a:r>
          </a:p>
        </c:rich>
      </c:tx>
      <c:layout>
        <c:manualLayout>
          <c:xMode val="edge"/>
          <c:yMode val="edge"/>
          <c:x val="0.13473030131620051"/>
          <c:y val="1.0888884506660654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88900" dist="50800" dir="5400000" sx="123000" sy="123000" algn="ctr" rotWithShape="0">
              <a:schemeClr val="accent5">
                <a:lumMod val="75000"/>
                <a:alpha val="86000"/>
              </a:scheme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776760914164137E-3"/>
          <c:y val="0.14444105298085361"/>
          <c:w val="0.97426697172575072"/>
          <c:h val="0.72925731805917204"/>
        </c:manualLayout>
      </c:layout>
      <c:bar3DChart>
        <c:barDir val="col"/>
        <c:grouping val="standard"/>
        <c:varyColors val="0"/>
        <c:ser>
          <c:idx val="0"/>
          <c:order val="0"/>
          <c:tx>
            <c:strRef>
              <c:f>Sheet4!$B$46</c:f>
              <c:strCache>
                <c:ptCount val="1"/>
                <c:pt idx="0">
                  <c:v>Total</c:v>
                </c:pt>
              </c:strCache>
            </c:strRef>
          </c:tx>
          <c:spPr>
            <a:solidFill>
              <a:schemeClr val="accent5">
                <a:lumMod val="50000"/>
              </a:schemeClr>
            </a:solidFill>
            <a:ln>
              <a:noFill/>
            </a:ln>
            <a:effectLst>
              <a:outerShdw blurRad="88900" dist="50800" dir="5400000" sx="123000" sy="123000" algn="ctr" rotWithShape="0">
                <a:schemeClr val="accent5">
                  <a:lumMod val="75000"/>
                  <a:alpha val="86000"/>
                </a:scheme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5">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Sheet4!$A$47:$A$51</c:f>
              <c:strCache>
                <c:ptCount val="4"/>
                <c:pt idx="0">
                  <c:v>1</c:v>
                </c:pt>
                <c:pt idx="1">
                  <c:v>2</c:v>
                </c:pt>
                <c:pt idx="2">
                  <c:v>3</c:v>
                </c:pt>
                <c:pt idx="3">
                  <c:v>4</c:v>
                </c:pt>
              </c:strCache>
            </c:strRef>
          </c:cat>
          <c:val>
            <c:numRef>
              <c:f>Sheet4!$B$47:$B$51</c:f>
              <c:numCache>
                <c:formatCode>General</c:formatCode>
                <c:ptCount val="4"/>
                <c:pt idx="0">
                  <c:v>687</c:v>
                </c:pt>
                <c:pt idx="1">
                  <c:v>706</c:v>
                </c:pt>
                <c:pt idx="2">
                  <c:v>757</c:v>
                </c:pt>
                <c:pt idx="3">
                  <c:v>789</c:v>
                </c:pt>
              </c:numCache>
            </c:numRef>
          </c:val>
          <c:shape val="pyramid"/>
          <c:extLst>
            <c:ext xmlns:c16="http://schemas.microsoft.com/office/drawing/2014/chart" uri="{C3380CC4-5D6E-409C-BE32-E72D297353CC}">
              <c16:uniqueId val="{00000000-4F2D-4E8A-9AC5-8B7D012FFC6E}"/>
            </c:ext>
          </c:extLst>
        </c:ser>
        <c:dLbls>
          <c:showLegendKey val="0"/>
          <c:showVal val="1"/>
          <c:showCatName val="0"/>
          <c:showSerName val="0"/>
          <c:showPercent val="0"/>
          <c:showBubbleSize val="0"/>
        </c:dLbls>
        <c:gapWidth val="21"/>
        <c:gapDepth val="24"/>
        <c:shape val="box"/>
        <c:axId val="723664352"/>
        <c:axId val="723666272"/>
        <c:axId val="716820656"/>
      </c:bar3DChart>
      <c:catAx>
        <c:axId val="72366435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66272"/>
        <c:crosses val="autoZero"/>
        <c:auto val="1"/>
        <c:lblAlgn val="ctr"/>
        <c:lblOffset val="100"/>
        <c:noMultiLvlLbl val="0"/>
      </c:catAx>
      <c:valAx>
        <c:axId val="723666272"/>
        <c:scaling>
          <c:orientation val="minMax"/>
        </c:scaling>
        <c:delete val="1"/>
        <c:axPos val="l"/>
        <c:numFmt formatCode="General" sourceLinked="1"/>
        <c:majorTickMark val="none"/>
        <c:minorTickMark val="none"/>
        <c:tickLblPos val="nextTo"/>
        <c:crossAx val="723664352"/>
        <c:crosses val="autoZero"/>
        <c:crossBetween val="between"/>
      </c:valAx>
      <c:serAx>
        <c:axId val="716820656"/>
        <c:scaling>
          <c:orientation val="minMax"/>
        </c:scaling>
        <c:delete val="1"/>
        <c:axPos val="b"/>
        <c:majorTickMark val="none"/>
        <c:minorTickMark val="none"/>
        <c:tickLblPos val="nextTo"/>
        <c:crossAx val="72366627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[Sales_Data.xlsx]Sheet4!PivotTable6</c:name>
    <c:fmtId val="3"/>
  </c:pivotSource>
  <c:chart>
    <c:title>
      <c:tx>
        <c:rich>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r>
              <a:rPr lang="en-US" sz="1400" b="1" i="0" u="none" strike="noStrike" kern="1200" spc="0" baseline="0">
                <a:solidFill>
                  <a:srgbClr val="1F497D"/>
                </a:solidFill>
                <a:latin typeface="+mn-lt"/>
                <a:ea typeface="+mn-ea"/>
                <a:cs typeface="+mn-cs"/>
              </a:rPr>
              <a:t>TOTAL SALES BY REGION</a:t>
            </a:r>
          </a:p>
        </c:rich>
      </c:tx>
      <c:layout>
        <c:manualLayout>
          <c:xMode val="edge"/>
          <c:yMode val="edge"/>
          <c:x val="0.31224699144931928"/>
          <c:y val="2.2685190643126942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1F497D"/>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a:outerShdw blurRad="50800" dist="50800" dir="4200000" sx="103000" sy="103000" algn="ctr" rotWithShape="0">
              <a:schemeClr val="accent5">
                <a:lumMod val="75000"/>
                <a:alpha val="25000"/>
              </a:scheme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Sheet4!$B$69</c:f>
              <c:strCache>
                <c:ptCount val="1"/>
                <c:pt idx="0">
                  <c:v>Total</c:v>
                </c:pt>
              </c:strCache>
            </c:strRef>
          </c:tx>
          <c:spPr>
            <a:solidFill>
              <a:schemeClr val="accent5">
                <a:lumMod val="50000"/>
              </a:schemeClr>
            </a:solidFill>
            <a:ln>
              <a:noFill/>
            </a:ln>
            <a:effectLst>
              <a:outerShdw blurRad="50800" dist="50800" dir="4200000" sx="103000" sy="103000" algn="ctr" rotWithShape="0">
                <a:schemeClr val="accent5">
                  <a:lumMod val="75000"/>
                  <a:alpha val="2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Sheet4!$A$70:$A$80</c:f>
              <c:strCache>
                <c:ptCount val="10"/>
                <c:pt idx="0">
                  <c:v>Central</c:v>
                </c:pt>
                <c:pt idx="1">
                  <c:v>East</c:v>
                </c:pt>
                <c:pt idx="2">
                  <c:v>North</c:v>
                </c:pt>
                <c:pt idx="3">
                  <c:v>Northeast</c:v>
                </c:pt>
                <c:pt idx="4">
                  <c:v>Northwest</c:v>
                </c:pt>
                <c:pt idx="5">
                  <c:v>South</c:v>
                </c:pt>
                <c:pt idx="6">
                  <c:v>Southeast</c:v>
                </c:pt>
                <c:pt idx="7">
                  <c:v>Southwest</c:v>
                </c:pt>
                <c:pt idx="8">
                  <c:v>Unknown</c:v>
                </c:pt>
                <c:pt idx="9">
                  <c:v>West</c:v>
                </c:pt>
              </c:strCache>
            </c:strRef>
          </c:cat>
          <c:val>
            <c:numRef>
              <c:f>Sheet4!$B$70:$B$80</c:f>
              <c:numCache>
                <c:formatCode>General</c:formatCode>
                <c:ptCount val="10"/>
                <c:pt idx="0">
                  <c:v>2384945</c:v>
                </c:pt>
                <c:pt idx="1">
                  <c:v>4094540</c:v>
                </c:pt>
                <c:pt idx="2">
                  <c:v>1990155</c:v>
                </c:pt>
                <c:pt idx="3">
                  <c:v>4071131</c:v>
                </c:pt>
                <c:pt idx="4">
                  <c:v>3248425</c:v>
                </c:pt>
                <c:pt idx="5">
                  <c:v>3584302</c:v>
                </c:pt>
                <c:pt idx="6">
                  <c:v>3028564</c:v>
                </c:pt>
                <c:pt idx="7">
                  <c:v>5433274</c:v>
                </c:pt>
                <c:pt idx="8">
                  <c:v>2241375</c:v>
                </c:pt>
                <c:pt idx="9">
                  <c:v>1368787</c:v>
                </c:pt>
              </c:numCache>
            </c:numRef>
          </c:val>
          <c:extLst>
            <c:ext xmlns:c16="http://schemas.microsoft.com/office/drawing/2014/chart" uri="{C3380CC4-5D6E-409C-BE32-E72D297353CC}">
              <c16:uniqueId val="{00000000-9F5F-425E-8392-CE1954C8D3A8}"/>
            </c:ext>
          </c:extLst>
        </c:ser>
        <c:dLbls>
          <c:dLblPos val="outEnd"/>
          <c:showLegendKey val="0"/>
          <c:showVal val="1"/>
          <c:showCatName val="0"/>
          <c:showSerName val="0"/>
          <c:showPercent val="0"/>
          <c:showBubbleSize val="0"/>
        </c:dLbls>
        <c:gapWidth val="182"/>
        <c:axId val="723678752"/>
        <c:axId val="723689792"/>
      </c:barChart>
      <c:catAx>
        <c:axId val="7236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89792"/>
        <c:crosses val="autoZero"/>
        <c:auto val="1"/>
        <c:lblAlgn val="ctr"/>
        <c:lblOffset val="100"/>
        <c:noMultiLvlLbl val="0"/>
      </c:catAx>
      <c:valAx>
        <c:axId val="723689792"/>
        <c:scaling>
          <c:orientation val="minMax"/>
        </c:scaling>
        <c:delete val="1"/>
        <c:axPos val="b"/>
        <c:numFmt formatCode="General" sourceLinked="1"/>
        <c:majorTickMark val="none"/>
        <c:minorTickMark val="none"/>
        <c:tickLblPos val="nextTo"/>
        <c:crossAx val="723678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[Sales_Data.xlsx]Sheet4!PivotTable6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Sheet4!$B$69</c:f>
              <c:strCache>
                <c:ptCount val="1"/>
                <c:pt idx="0">
                  <c:v>Total</c:v>
                </c:pt>
              </c:strCache>
            </c:strRef>
          </c:tx>
          <c:spPr>
            <a:solidFill>
              <a:schemeClr val="accent1"/>
            </a:solidFill>
            <a:ln>
              <a:noFill/>
            </a:ln>
            <a:effectLst/>
          </c:spPr>
          <c:invertIfNegative val="0"/>
          <c:cat>
            <c:strRef>
              <c:f>Sheet4!$A$70:$A$80</c:f>
              <c:strCache>
                <c:ptCount val="10"/>
                <c:pt idx="0">
                  <c:v>Central</c:v>
                </c:pt>
                <c:pt idx="1">
                  <c:v>East</c:v>
                </c:pt>
                <c:pt idx="2">
                  <c:v>North</c:v>
                </c:pt>
                <c:pt idx="3">
                  <c:v>Northeast</c:v>
                </c:pt>
                <c:pt idx="4">
                  <c:v>Northwest</c:v>
                </c:pt>
                <c:pt idx="5">
                  <c:v>South</c:v>
                </c:pt>
                <c:pt idx="6">
                  <c:v>Southeast</c:v>
                </c:pt>
                <c:pt idx="7">
                  <c:v>Southwest</c:v>
                </c:pt>
                <c:pt idx="8">
                  <c:v>Unknown</c:v>
                </c:pt>
                <c:pt idx="9">
                  <c:v>West</c:v>
                </c:pt>
              </c:strCache>
            </c:strRef>
          </c:cat>
          <c:val>
            <c:numRef>
              <c:f>Sheet4!$B$70:$B$80</c:f>
              <c:numCache>
                <c:formatCode>General</c:formatCode>
                <c:ptCount val="10"/>
                <c:pt idx="0">
                  <c:v>2384945</c:v>
                </c:pt>
                <c:pt idx="1">
                  <c:v>4094540</c:v>
                </c:pt>
                <c:pt idx="2">
                  <c:v>1990155</c:v>
                </c:pt>
                <c:pt idx="3">
                  <c:v>4071131</c:v>
                </c:pt>
                <c:pt idx="4">
                  <c:v>3248425</c:v>
                </c:pt>
                <c:pt idx="5">
                  <c:v>3584302</c:v>
                </c:pt>
                <c:pt idx="6">
                  <c:v>3028564</c:v>
                </c:pt>
                <c:pt idx="7">
                  <c:v>5433274</c:v>
                </c:pt>
                <c:pt idx="8">
                  <c:v>2241375</c:v>
                </c:pt>
                <c:pt idx="9">
                  <c:v>1368787</c:v>
                </c:pt>
              </c:numCache>
            </c:numRef>
          </c:val>
          <c:extLst>
            <c:ext xmlns:c16="http://schemas.microsoft.com/office/drawing/2014/chart" uri="{C3380CC4-5D6E-409C-BE32-E72D297353CC}">
              <c16:uniqueId val="{00000000-80A2-4BAC-BAA2-736411FFA8A8}"/>
            </c:ext>
          </c:extLst>
        </c:ser>
        <c:dLbls>
          <c:showLegendKey val="0"/>
          <c:showVal val="0"/>
          <c:showCatName val="0"/>
          <c:showSerName val="0"/>
          <c:showPercent val="0"/>
          <c:showBubbleSize val="0"/>
        </c:dLbls>
        <c:gapWidth val="182"/>
        <c:axId val="723678752"/>
        <c:axId val="723689792"/>
      </c:barChart>
      <c:catAx>
        <c:axId val="72367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89792"/>
        <c:crosses val="autoZero"/>
        <c:auto val="1"/>
        <c:lblAlgn val="ctr"/>
        <c:lblOffset val="100"/>
        <c:noMultiLvlLbl val="0"/>
      </c:catAx>
      <c:valAx>
        <c:axId val="723689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678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40</xdr:col>
      <xdr:colOff>606425</xdr:colOff>
      <xdr:row>0</xdr:row>
      <xdr:rowOff>6350</xdr:rowOff>
    </xdr:from>
    <xdr:to>
      <xdr:col>48</xdr:col>
      <xdr:colOff>301625</xdr:colOff>
      <xdr:row>15</xdr:row>
      <xdr:rowOff>0</xdr:rowOff>
    </xdr:to>
    <xdr:graphicFrame macro="">
      <xdr:nvGraphicFramePr>
        <xdr:cNvPr id="4" name="Chart 3">
          <a:extLst>
            <a:ext uri="{FF2B5EF4-FFF2-40B4-BE49-F238E27FC236}">
              <a16:creationId xmlns:a16="http://schemas.microsoft.com/office/drawing/2014/main" id="{CC0543A2-42ED-EEFA-3804-51B739D5F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3175</xdr:colOff>
      <xdr:row>0</xdr:row>
      <xdr:rowOff>0</xdr:rowOff>
    </xdr:from>
    <xdr:to>
      <xdr:col>56</xdr:col>
      <xdr:colOff>307975</xdr:colOff>
      <xdr:row>15</xdr:row>
      <xdr:rowOff>0</xdr:rowOff>
    </xdr:to>
    <xdr:graphicFrame macro="">
      <xdr:nvGraphicFramePr>
        <xdr:cNvPr id="3" name="Chart 2">
          <a:extLst>
            <a:ext uri="{FF2B5EF4-FFF2-40B4-BE49-F238E27FC236}">
              <a16:creationId xmlns:a16="http://schemas.microsoft.com/office/drawing/2014/main" id="{3532E9F1-4E11-2B69-A198-4B4A96857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0</xdr:colOff>
      <xdr:row>0</xdr:row>
      <xdr:rowOff>0</xdr:rowOff>
    </xdr:from>
    <xdr:to>
      <xdr:col>64</xdr:col>
      <xdr:colOff>304800</xdr:colOff>
      <xdr:row>14</xdr:row>
      <xdr:rowOff>165100</xdr:rowOff>
    </xdr:to>
    <xdr:graphicFrame macro="">
      <xdr:nvGraphicFramePr>
        <xdr:cNvPr id="6" name="Chart 5">
          <a:extLst>
            <a:ext uri="{FF2B5EF4-FFF2-40B4-BE49-F238E27FC236}">
              <a16:creationId xmlns:a16="http://schemas.microsoft.com/office/drawing/2014/main" id="{4DA96871-D68E-4285-A8A5-91078EE39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263525</xdr:colOff>
      <xdr:row>0</xdr:row>
      <xdr:rowOff>0</xdr:rowOff>
    </xdr:from>
    <xdr:to>
      <xdr:col>9</xdr:col>
      <xdr:colOff>568325</xdr:colOff>
      <xdr:row>14</xdr:row>
      <xdr:rowOff>165100</xdr:rowOff>
    </xdr:to>
    <xdr:graphicFrame macro="">
      <xdr:nvGraphicFramePr>
        <xdr:cNvPr id="3" name="Chart 2">
          <a:extLst>
            <a:ext uri="{FF2B5EF4-FFF2-40B4-BE49-F238E27FC236}">
              <a16:creationId xmlns:a16="http://schemas.microsoft.com/office/drawing/2014/main" id="{FA0067E0-5F4F-FA2F-13E9-EA5308BD6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15</xdr:row>
      <xdr:rowOff>47625</xdr:rowOff>
    </xdr:from>
    <xdr:to>
      <xdr:col>8</xdr:col>
      <xdr:colOff>12700</xdr:colOff>
      <xdr:row>24</xdr:row>
      <xdr:rowOff>44450</xdr:rowOff>
    </xdr:to>
    <xdr:graphicFrame macro="">
      <xdr:nvGraphicFramePr>
        <xdr:cNvPr id="6" name="Chart 5">
          <a:extLst>
            <a:ext uri="{FF2B5EF4-FFF2-40B4-BE49-F238E27FC236}">
              <a16:creationId xmlns:a16="http://schemas.microsoft.com/office/drawing/2014/main" id="{DAA40706-AD25-9EBF-C1A4-E3838F28B1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22</xdr:row>
      <xdr:rowOff>9525</xdr:rowOff>
    </xdr:from>
    <xdr:to>
      <xdr:col>9</xdr:col>
      <xdr:colOff>323850</xdr:colOff>
      <xdr:row>36</xdr:row>
      <xdr:rowOff>174625</xdr:rowOff>
    </xdr:to>
    <xdr:graphicFrame macro="">
      <xdr:nvGraphicFramePr>
        <xdr:cNvPr id="2" name="Chart 1">
          <a:extLst>
            <a:ext uri="{FF2B5EF4-FFF2-40B4-BE49-F238E27FC236}">
              <a16:creationId xmlns:a16="http://schemas.microsoft.com/office/drawing/2014/main" id="{F0975F4F-0B8A-CD9F-BB05-A713DCECB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863600</xdr:colOff>
      <xdr:row>45</xdr:row>
      <xdr:rowOff>117475</xdr:rowOff>
    </xdr:from>
    <xdr:to>
      <xdr:col>9</xdr:col>
      <xdr:colOff>152400</xdr:colOff>
      <xdr:row>60</xdr:row>
      <xdr:rowOff>98425</xdr:rowOff>
    </xdr:to>
    <xdr:graphicFrame macro="">
      <xdr:nvGraphicFramePr>
        <xdr:cNvPr id="4" name="Chart 3">
          <a:extLst>
            <a:ext uri="{FF2B5EF4-FFF2-40B4-BE49-F238E27FC236}">
              <a16:creationId xmlns:a16="http://schemas.microsoft.com/office/drawing/2014/main" id="{3CEDFCF1-7D4F-6174-BFFE-20C54BBF4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501650</xdr:colOff>
      <xdr:row>65</xdr:row>
      <xdr:rowOff>142875</xdr:rowOff>
    </xdr:from>
    <xdr:to>
      <xdr:col>10</xdr:col>
      <xdr:colOff>196850</xdr:colOff>
      <xdr:row>80</xdr:row>
      <xdr:rowOff>123825</xdr:rowOff>
    </xdr:to>
    <xdr:graphicFrame macro="">
      <xdr:nvGraphicFramePr>
        <xdr:cNvPr id="5" name="Chart 4">
          <a:extLst>
            <a:ext uri="{FF2B5EF4-FFF2-40B4-BE49-F238E27FC236}">
              <a16:creationId xmlns:a16="http://schemas.microsoft.com/office/drawing/2014/main" id="{728DB0A0-14E2-E739-806E-6625A1283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25919</xdr:colOff>
      <xdr:row>0</xdr:row>
      <xdr:rowOff>0</xdr:rowOff>
    </xdr:from>
    <xdr:to>
      <xdr:col>19</xdr:col>
      <xdr:colOff>408214</xdr:colOff>
      <xdr:row>31</xdr:row>
      <xdr:rowOff>77754</xdr:rowOff>
    </xdr:to>
    <xdr:sp macro="" textlink="">
      <xdr:nvSpPr>
        <xdr:cNvPr id="4" name="Rectangle 3">
          <a:extLst>
            <a:ext uri="{FF2B5EF4-FFF2-40B4-BE49-F238E27FC236}">
              <a16:creationId xmlns:a16="http://schemas.microsoft.com/office/drawing/2014/main" id="{610289B0-E669-CD99-736F-13A787FA66A2}"/>
            </a:ext>
          </a:extLst>
        </xdr:cNvPr>
        <xdr:cNvSpPr/>
      </xdr:nvSpPr>
      <xdr:spPr>
        <a:xfrm>
          <a:off x="25919" y="0"/>
          <a:ext cx="11954846" cy="5702040"/>
        </a:xfrm>
        <a:prstGeom prst="rect">
          <a:avLst/>
        </a:prstGeom>
        <a:solidFill>
          <a:schemeClr val="accent5">
            <a:lumMod val="20000"/>
            <a:lumOff val="80000"/>
          </a:schemeClr>
        </a:solidFill>
        <a:ln w="952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311019</xdr:colOff>
      <xdr:row>1</xdr:row>
      <xdr:rowOff>103673</xdr:rowOff>
    </xdr:from>
    <xdr:to>
      <xdr:col>19</xdr:col>
      <xdr:colOff>285101</xdr:colOff>
      <xdr:row>30</xdr:row>
      <xdr:rowOff>58317</xdr:rowOff>
    </xdr:to>
    <xdr:sp macro="" textlink="">
      <xdr:nvSpPr>
        <xdr:cNvPr id="5" name="Rectangle: Rounded Corners 4">
          <a:extLst>
            <a:ext uri="{FF2B5EF4-FFF2-40B4-BE49-F238E27FC236}">
              <a16:creationId xmlns:a16="http://schemas.microsoft.com/office/drawing/2014/main" id="{DCDAD59F-8FCD-0192-1175-95299FE2D4D4}"/>
            </a:ext>
          </a:extLst>
        </xdr:cNvPr>
        <xdr:cNvSpPr/>
      </xdr:nvSpPr>
      <xdr:spPr>
        <a:xfrm>
          <a:off x="311019" y="285102"/>
          <a:ext cx="11546633" cy="5216072"/>
        </a:xfrm>
        <a:prstGeom prst="roundRect">
          <a:avLst>
            <a:gd name="adj" fmla="val 4117"/>
          </a:avLst>
        </a:prstGeom>
        <a:solidFill>
          <a:schemeClr val="accent5">
            <a:lumMod val="60000"/>
            <a:lumOff val="40000"/>
          </a:schemeClr>
        </a:solidFill>
        <a:ln w="19050">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161990</xdr:colOff>
      <xdr:row>1</xdr:row>
      <xdr:rowOff>110154</xdr:rowOff>
    </xdr:from>
    <xdr:to>
      <xdr:col>3</xdr:col>
      <xdr:colOff>64796</xdr:colOff>
      <xdr:row>30</xdr:row>
      <xdr:rowOff>51840</xdr:rowOff>
    </xdr:to>
    <xdr:sp macro="" textlink="">
      <xdr:nvSpPr>
        <xdr:cNvPr id="6" name="Rectangle: Top Corners Rounded 5">
          <a:extLst>
            <a:ext uri="{FF2B5EF4-FFF2-40B4-BE49-F238E27FC236}">
              <a16:creationId xmlns:a16="http://schemas.microsoft.com/office/drawing/2014/main" id="{F046021A-E0D5-1839-BA0A-8A3EA04B164F}"/>
            </a:ext>
          </a:extLst>
        </xdr:cNvPr>
        <xdr:cNvSpPr/>
      </xdr:nvSpPr>
      <xdr:spPr>
        <a:xfrm rot="16200000">
          <a:off x="-1574541" y="2028114"/>
          <a:ext cx="5203114" cy="1730051"/>
        </a:xfrm>
        <a:prstGeom prst="round2Same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5400000" scaled="1"/>
          <a:tileRect/>
        </a:gradFill>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77754</xdr:colOff>
      <xdr:row>1</xdr:row>
      <xdr:rowOff>123112</xdr:rowOff>
    </xdr:from>
    <xdr:to>
      <xdr:col>8</xdr:col>
      <xdr:colOff>479490</xdr:colOff>
      <xdr:row>14</xdr:row>
      <xdr:rowOff>110153</xdr:rowOff>
    </xdr:to>
    <xdr:graphicFrame macro="">
      <xdr:nvGraphicFramePr>
        <xdr:cNvPr id="8" name="Chart 7">
          <a:extLst>
            <a:ext uri="{FF2B5EF4-FFF2-40B4-BE49-F238E27FC236}">
              <a16:creationId xmlns:a16="http://schemas.microsoft.com/office/drawing/2014/main" id="{BCBEB5DA-5403-4BED-8184-081A0E4BDD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492449</xdr:colOff>
      <xdr:row>1</xdr:row>
      <xdr:rowOff>123111</xdr:rowOff>
    </xdr:from>
    <xdr:to>
      <xdr:col>14</xdr:col>
      <xdr:colOff>187908</xdr:colOff>
      <xdr:row>14</xdr:row>
      <xdr:rowOff>110153</xdr:rowOff>
    </xdr:to>
    <xdr:graphicFrame macro="">
      <xdr:nvGraphicFramePr>
        <xdr:cNvPr id="10" name="Chart 9">
          <a:extLst>
            <a:ext uri="{FF2B5EF4-FFF2-40B4-BE49-F238E27FC236}">
              <a16:creationId xmlns:a16="http://schemas.microsoft.com/office/drawing/2014/main" id="{07B48AB2-F920-4984-92C3-0F846FE9C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71273</xdr:colOff>
      <xdr:row>14</xdr:row>
      <xdr:rowOff>129592</xdr:rowOff>
    </xdr:from>
    <xdr:to>
      <xdr:col>11</xdr:col>
      <xdr:colOff>97194</xdr:colOff>
      <xdr:row>30</xdr:row>
      <xdr:rowOff>25919</xdr:rowOff>
    </xdr:to>
    <xdr:graphicFrame macro="">
      <xdr:nvGraphicFramePr>
        <xdr:cNvPr id="2" name="Chart 1">
          <a:extLst>
            <a:ext uri="{FF2B5EF4-FFF2-40B4-BE49-F238E27FC236}">
              <a16:creationId xmlns:a16="http://schemas.microsoft.com/office/drawing/2014/main" id="{998AC11F-A6A0-42A7-8FCE-CD3AD230C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200867</xdr:colOff>
      <xdr:row>1</xdr:row>
      <xdr:rowOff>123113</xdr:rowOff>
    </xdr:from>
    <xdr:to>
      <xdr:col>19</xdr:col>
      <xdr:colOff>259184</xdr:colOff>
      <xdr:row>14</xdr:row>
      <xdr:rowOff>116634</xdr:rowOff>
    </xdr:to>
    <xdr:graphicFrame macro="">
      <xdr:nvGraphicFramePr>
        <xdr:cNvPr id="3" name="Chart 2">
          <a:extLst>
            <a:ext uri="{FF2B5EF4-FFF2-40B4-BE49-F238E27FC236}">
              <a16:creationId xmlns:a16="http://schemas.microsoft.com/office/drawing/2014/main" id="{1683A9BD-C776-4FA0-90EA-A60E4FBB5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123113</xdr:colOff>
      <xdr:row>14</xdr:row>
      <xdr:rowOff>129592</xdr:rowOff>
    </xdr:from>
    <xdr:to>
      <xdr:col>19</xdr:col>
      <xdr:colOff>259184</xdr:colOff>
      <xdr:row>30</xdr:row>
      <xdr:rowOff>25918</xdr:rowOff>
    </xdr:to>
    <xdr:graphicFrame macro="">
      <xdr:nvGraphicFramePr>
        <xdr:cNvPr id="7" name="Chart 6">
          <a:extLst>
            <a:ext uri="{FF2B5EF4-FFF2-40B4-BE49-F238E27FC236}">
              <a16:creationId xmlns:a16="http://schemas.microsoft.com/office/drawing/2014/main" id="{48BFD084-644E-4018-B11E-18E25ADE4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25918</xdr:colOff>
      <xdr:row>2</xdr:row>
      <xdr:rowOff>12958</xdr:rowOff>
    </xdr:from>
    <xdr:to>
      <xdr:col>3</xdr:col>
      <xdr:colOff>32398</xdr:colOff>
      <xdr:row>8</xdr:row>
      <xdr:rowOff>84235</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C6E088E1-346F-5FEE-BD56-20D31F645D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00" y="375815"/>
              <a:ext cx="1224643" cy="1159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213827</xdr:colOff>
      <xdr:row>1</xdr:row>
      <xdr:rowOff>129591</xdr:rowOff>
    </xdr:from>
    <xdr:to>
      <xdr:col>0</xdr:col>
      <xdr:colOff>596122</xdr:colOff>
      <xdr:row>29</xdr:row>
      <xdr:rowOff>136070</xdr:rowOff>
    </xdr:to>
    <xdr:sp macro="" textlink="">
      <xdr:nvSpPr>
        <xdr:cNvPr id="11" name="Rectangle: Diagonal Corners Rounded 10">
          <a:extLst>
            <a:ext uri="{FF2B5EF4-FFF2-40B4-BE49-F238E27FC236}">
              <a16:creationId xmlns:a16="http://schemas.microsoft.com/office/drawing/2014/main" id="{915A0308-0E8E-6798-E732-3A469C6AE01D}"/>
            </a:ext>
          </a:extLst>
        </xdr:cNvPr>
        <xdr:cNvSpPr/>
      </xdr:nvSpPr>
      <xdr:spPr>
        <a:xfrm>
          <a:off x="213827" y="311020"/>
          <a:ext cx="382295" cy="5086479"/>
        </a:xfrm>
        <a:prstGeom prst="round2Diag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265663</xdr:colOff>
      <xdr:row>1</xdr:row>
      <xdr:rowOff>142552</xdr:rowOff>
    </xdr:from>
    <xdr:to>
      <xdr:col>0</xdr:col>
      <xdr:colOff>550765</xdr:colOff>
      <xdr:row>29</xdr:row>
      <xdr:rowOff>45358</xdr:rowOff>
    </xdr:to>
    <xdr:sp macro="" textlink="">
      <xdr:nvSpPr>
        <xdr:cNvPr id="14" name="TextBox 13">
          <a:extLst>
            <a:ext uri="{FF2B5EF4-FFF2-40B4-BE49-F238E27FC236}">
              <a16:creationId xmlns:a16="http://schemas.microsoft.com/office/drawing/2014/main" id="{BAAC5C95-5D75-32BD-EF51-D621DA641756}"/>
            </a:ext>
          </a:extLst>
        </xdr:cNvPr>
        <xdr:cNvSpPr txBox="1"/>
      </xdr:nvSpPr>
      <xdr:spPr>
        <a:xfrm>
          <a:off x="265663" y="323981"/>
          <a:ext cx="285102" cy="4982806"/>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rPr>
            <a:t>S</a:t>
          </a:r>
        </a:p>
        <a:p>
          <a:pPr algn="ctr"/>
          <a:r>
            <a:rPr lang="en-US" sz="1200" b="1">
              <a:solidFill>
                <a:schemeClr val="bg1"/>
              </a:solidFill>
            </a:rPr>
            <a:t>A</a:t>
          </a:r>
        </a:p>
        <a:p>
          <a:pPr algn="ctr"/>
          <a:r>
            <a:rPr lang="en-US" sz="1200" b="1">
              <a:solidFill>
                <a:schemeClr val="bg1"/>
              </a:solidFill>
            </a:rPr>
            <a:t>L</a:t>
          </a:r>
        </a:p>
        <a:p>
          <a:pPr algn="ctr"/>
          <a:r>
            <a:rPr lang="en-US" sz="1200" b="1">
              <a:solidFill>
                <a:schemeClr val="bg1"/>
              </a:solidFill>
            </a:rPr>
            <a:t>E</a:t>
          </a:r>
        </a:p>
        <a:p>
          <a:pPr algn="ctr"/>
          <a:r>
            <a:rPr lang="en-US" sz="1200" b="1">
              <a:solidFill>
                <a:schemeClr val="bg1"/>
              </a:solidFill>
            </a:rPr>
            <a:t>S</a:t>
          </a:r>
        </a:p>
        <a:p>
          <a:pPr algn="ctr"/>
          <a:endParaRPr lang="en-US" sz="1200" b="1">
            <a:solidFill>
              <a:schemeClr val="bg1"/>
            </a:solidFill>
          </a:endParaRPr>
        </a:p>
        <a:p>
          <a:pPr algn="ctr"/>
          <a:r>
            <a:rPr lang="en-US" sz="1200" b="1">
              <a:solidFill>
                <a:schemeClr val="bg1"/>
              </a:solidFill>
            </a:rPr>
            <a:t>D</a:t>
          </a:r>
        </a:p>
        <a:p>
          <a:pPr algn="ctr"/>
          <a:r>
            <a:rPr lang="en-US" sz="1200" b="1">
              <a:solidFill>
                <a:schemeClr val="bg1"/>
              </a:solidFill>
            </a:rPr>
            <a:t>A</a:t>
          </a:r>
        </a:p>
        <a:p>
          <a:pPr algn="ctr"/>
          <a:r>
            <a:rPr lang="en-US" sz="1200" b="1">
              <a:solidFill>
                <a:schemeClr val="bg1"/>
              </a:solidFill>
            </a:rPr>
            <a:t>T</a:t>
          </a:r>
        </a:p>
        <a:p>
          <a:pPr algn="ctr"/>
          <a:r>
            <a:rPr lang="en-US" sz="1200" b="1">
              <a:solidFill>
                <a:schemeClr val="bg1"/>
              </a:solidFill>
            </a:rPr>
            <a:t>A</a:t>
          </a:r>
        </a:p>
        <a:p>
          <a:pPr algn="ctr"/>
          <a:endParaRPr lang="en-US" sz="1200" b="1">
            <a:solidFill>
              <a:schemeClr val="bg1"/>
            </a:solidFill>
          </a:endParaRPr>
        </a:p>
        <a:p>
          <a:pPr algn="ctr"/>
          <a:r>
            <a:rPr lang="en-US" sz="1200" b="1">
              <a:solidFill>
                <a:schemeClr val="bg1"/>
              </a:solidFill>
            </a:rPr>
            <a:t>EXCEL</a:t>
          </a:r>
        </a:p>
        <a:p>
          <a:pPr algn="ctr"/>
          <a:endParaRPr lang="en-US" sz="1200" b="1">
            <a:solidFill>
              <a:schemeClr val="bg1"/>
            </a:solidFill>
          </a:endParaRPr>
        </a:p>
        <a:p>
          <a:pPr algn="ctr"/>
          <a:r>
            <a:rPr lang="en-US" sz="1200" b="1">
              <a:solidFill>
                <a:schemeClr val="bg1"/>
              </a:solidFill>
            </a:rPr>
            <a:t>DASHBOARD</a:t>
          </a:r>
        </a:p>
      </xdr:txBody>
    </xdr:sp>
    <xdr:clientData/>
  </xdr:twoCellAnchor>
  <xdr:twoCellAnchor editAs="oneCell">
    <xdr:from>
      <xdr:col>1</xdr:col>
      <xdr:colOff>25917</xdr:colOff>
      <xdr:row>9</xdr:row>
      <xdr:rowOff>20736</xdr:rowOff>
    </xdr:from>
    <xdr:to>
      <xdr:col>3</xdr:col>
      <xdr:colOff>19438</xdr:colOff>
      <xdr:row>15</xdr:row>
      <xdr:rowOff>84234</xdr:rowOff>
    </xdr:to>
    <mc:AlternateContent xmlns:mc="http://schemas.openxmlformats.org/markup-compatibility/2006" xmlns:a14="http://schemas.microsoft.com/office/drawing/2010/main">
      <mc:Choice Requires="a14">
        <xdr:graphicFrame macro="">
          <xdr:nvGraphicFramePr>
            <xdr:cNvPr id="22" name="Product">
              <a:extLst>
                <a:ext uri="{FF2B5EF4-FFF2-40B4-BE49-F238E27FC236}">
                  <a16:creationId xmlns:a16="http://schemas.microsoft.com/office/drawing/2014/main" id="{63EBA0EA-2791-8A89-736E-6E91FED8B5E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34999" y="1653593"/>
              <a:ext cx="1211684" cy="11520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36287</xdr:colOff>
      <xdr:row>16</xdr:row>
      <xdr:rowOff>45356</xdr:rowOff>
    </xdr:from>
    <xdr:to>
      <xdr:col>3</xdr:col>
      <xdr:colOff>32400</xdr:colOff>
      <xdr:row>22</xdr:row>
      <xdr:rowOff>129591</xdr:rowOff>
    </xdr:to>
    <mc:AlternateContent xmlns:mc="http://schemas.openxmlformats.org/markup-compatibility/2006" xmlns:a14="http://schemas.microsoft.com/office/drawing/2010/main">
      <mc:Choice Requires="a14">
        <xdr:graphicFrame macro="">
          <xdr:nvGraphicFramePr>
            <xdr:cNvPr id="23" name="Month">
              <a:extLst>
                <a:ext uri="{FF2B5EF4-FFF2-40B4-BE49-F238E27FC236}">
                  <a16:creationId xmlns:a16="http://schemas.microsoft.com/office/drawing/2014/main" id="{55FFEA88-C12F-406B-735D-118C9A9E577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45369" y="2948213"/>
              <a:ext cx="1214276" cy="11728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25919</xdr:colOff>
      <xdr:row>23</xdr:row>
      <xdr:rowOff>77755</xdr:rowOff>
    </xdr:from>
    <xdr:to>
      <xdr:col>3</xdr:col>
      <xdr:colOff>25919</xdr:colOff>
      <xdr:row>29</xdr:row>
      <xdr:rowOff>149031</xdr:rowOff>
    </xdr:to>
    <mc:AlternateContent xmlns:mc="http://schemas.openxmlformats.org/markup-compatibility/2006" xmlns:a14="http://schemas.microsoft.com/office/drawing/2010/main">
      <mc:Choice Requires="a14">
        <xdr:graphicFrame macro="">
          <xdr:nvGraphicFramePr>
            <xdr:cNvPr id="24" name="Quarter">
              <a:extLst>
                <a:ext uri="{FF2B5EF4-FFF2-40B4-BE49-F238E27FC236}">
                  <a16:creationId xmlns:a16="http://schemas.microsoft.com/office/drawing/2014/main" id="{D7135FB6-C373-9FF4-9824-B6601324FD2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35001" y="4250612"/>
              <a:ext cx="1218163" cy="11598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20</xdr:row>
      <xdr:rowOff>0</xdr:rowOff>
    </xdr:from>
    <xdr:to>
      <xdr:col>11</xdr:col>
      <xdr:colOff>304800</xdr:colOff>
      <xdr:row>34</xdr:row>
      <xdr:rowOff>165100</xdr:rowOff>
    </xdr:to>
    <xdr:graphicFrame macro="">
      <xdr:nvGraphicFramePr>
        <xdr:cNvPr id="2" name="Chart 1">
          <a:extLst>
            <a:ext uri="{FF2B5EF4-FFF2-40B4-BE49-F238E27FC236}">
              <a16:creationId xmlns:a16="http://schemas.microsoft.com/office/drawing/2014/main" id="{1A2A89A0-6546-40BD-9BC5-DFB6E35AC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95.009099074072" createdVersion="8" refreshedVersion="8" minRefreshableVersion="3" recordCount="180" xr:uid="{42BA4D88-9BFE-458F-B016-E69392789D83}">
  <cacheSource type="worksheet">
    <worksheetSource name="Table6_2"/>
  </cacheSource>
  <cacheFields count="13">
    <cacheField name="Date" numFmtId="14">
      <sharedItems containsSemiMixedTypes="0" containsNonDate="0" containsDate="1" containsString="0" minDate="2024-01-03T00:00:00" maxDate="2024-12-31T00:00:00"/>
    </cacheField>
    <cacheField name="Employee" numFmtId="0">
      <sharedItems/>
    </cacheField>
    <cacheField name="Region" numFmtId="0">
      <sharedItems count="10">
        <s v="Unknown"/>
        <s v="South"/>
        <s v="Northeast"/>
        <s v="North"/>
        <s v="Southwest"/>
        <s v="Northwest"/>
        <s v="East"/>
        <s v="West"/>
        <s v="Central"/>
        <s v="Southeast"/>
      </sharedItems>
    </cacheField>
    <cacheField name="Product" numFmtId="0">
      <sharedItems count="12">
        <s v="Printer"/>
        <s v="Mouse"/>
        <s v="Router"/>
        <s v="Monitor"/>
        <s v="Webcam"/>
        <s v="Laptop"/>
        <s v="Speaker"/>
        <s v="Keyboard"/>
        <s v="Headphones"/>
        <s v="Smartphone"/>
        <s v="Tablet"/>
        <s v="Charger"/>
      </sharedItems>
    </cacheField>
    <cacheField name="Quantity" numFmtId="0">
      <sharedItems containsSemiMixedTypes="0" containsString="0" containsNumber="1" containsInteger="1" minValue="1" maxValue="30" count="30">
        <n v="7"/>
        <n v="28"/>
        <n v="23"/>
        <n v="24"/>
        <n v="4"/>
        <n v="10"/>
        <n v="15"/>
        <n v="16"/>
        <n v="19"/>
        <n v="3"/>
        <n v="27"/>
        <n v="20"/>
        <n v="11"/>
        <n v="6"/>
        <n v="17"/>
        <n v="12"/>
        <n v="13"/>
        <n v="29"/>
        <n v="1"/>
        <n v="2"/>
        <n v="22"/>
        <n v="14"/>
        <n v="26"/>
        <n v="30"/>
        <n v="8"/>
        <n v="9"/>
        <n v="21"/>
        <n v="18"/>
        <n v="5"/>
        <n v="25"/>
      </sharedItems>
    </cacheField>
    <cacheField name="UnitPrice" numFmtId="0">
      <sharedItems containsSemiMixedTypes="0" containsString="0" containsNumber="1" containsInteger="1" minValue="18" maxValue="52564" count="175">
        <n v="6060"/>
        <n v="6928"/>
        <n v="1599"/>
        <n v="1477"/>
        <n v="14176"/>
        <n v="49"/>
        <n v="5091"/>
        <n v="52159"/>
        <n v="10321"/>
        <n v="6405"/>
        <n v="1185"/>
        <n v="1387"/>
        <n v="1672"/>
        <n v="1079"/>
        <n v="10859"/>
        <n v="3785"/>
        <n v="5025"/>
        <n v="10042"/>
        <n v="22568"/>
        <n v="4693"/>
        <n v="20551"/>
        <n v="19626"/>
        <n v="815"/>
        <n v="48733"/>
        <n v="2351"/>
        <n v="14508"/>
        <n v="2830"/>
        <n v="2913"/>
        <n v="13198"/>
        <n v="4026"/>
        <n v="5343"/>
        <n v="1768"/>
        <n v="22691"/>
        <n v="17695"/>
        <n v="48880"/>
        <n v="47036"/>
        <n v="3919"/>
        <n v="48370"/>
        <n v="2520"/>
        <n v="6256"/>
        <n v="18340"/>
        <n v="10942"/>
        <n v="2189"/>
        <n v="168"/>
        <n v="13987"/>
        <n v="1525"/>
        <n v="10912"/>
        <n v="11376"/>
        <n v="47234"/>
        <n v="395"/>
        <n v="27349"/>
        <n v="193"/>
        <n v="501"/>
        <n v="17803"/>
        <n v="5056"/>
        <n v="2770"/>
        <n v="17209"/>
        <n v="3177"/>
        <n v="4436"/>
        <n v="26582"/>
        <n v="14629"/>
        <n v="167"/>
        <n v="3205"/>
        <n v="3431"/>
        <n v="10667"/>
        <n v="23890"/>
        <n v="22320"/>
        <n v="723"/>
        <n v="9958"/>
        <n v="5441"/>
        <n v="433"/>
        <n v="2227"/>
        <n v="4601"/>
        <n v="25995"/>
        <n v="2124"/>
        <n v="2211"/>
        <n v="4302"/>
        <n v="8959"/>
        <n v="11006"/>
        <n v="3643"/>
        <n v="335"/>
        <n v="5318"/>
        <n v="5932"/>
        <n v="1172"/>
        <n v="52533"/>
        <n v="9705"/>
        <n v="44"/>
        <n v="11614"/>
        <n v="3412"/>
        <n v="8468"/>
        <n v="3115"/>
        <n v="48353"/>
        <n v="2599"/>
        <n v="9954"/>
        <n v="430"/>
        <n v="5271"/>
        <n v="2840"/>
        <n v="4063"/>
        <n v="8713"/>
        <n v="1174"/>
        <n v="800"/>
        <n v="2066"/>
        <n v="90"/>
        <n v="14570"/>
        <n v="2306"/>
        <n v="6293"/>
        <n v="4800"/>
        <n v="9693"/>
        <n v="4890"/>
        <n v="2710"/>
        <n v="48368"/>
        <n v="24741"/>
        <n v="52475"/>
        <n v="8967"/>
        <n v="242"/>
        <n v="3439"/>
        <n v="3046"/>
        <n v="9683"/>
        <n v="24776"/>
        <n v="6208"/>
        <n v="416"/>
        <n v="2799"/>
        <n v="31"/>
        <n v="24662"/>
        <n v="5560"/>
        <n v="47115"/>
        <n v="3354"/>
        <n v="20049"/>
        <n v="49918"/>
        <n v="3748"/>
        <n v="3568"/>
        <n v="1808"/>
        <n v="2333"/>
        <n v="6560"/>
        <n v="4727"/>
        <n v="4473"/>
        <n v="4181"/>
        <n v="562"/>
        <n v="5188"/>
        <n v="1222"/>
        <n v="6236"/>
        <n v="48181"/>
        <n v="49766"/>
        <n v="49740"/>
        <n v="14644"/>
        <n v="20849"/>
        <n v="5645"/>
        <n v="11028"/>
        <n v="718"/>
        <n v="10642"/>
        <n v="22283"/>
        <n v="307"/>
        <n v="20538"/>
        <n v="52564"/>
        <n v="902"/>
        <n v="49988"/>
        <n v="3376"/>
        <n v="4197"/>
        <n v="18"/>
        <n v="2940"/>
        <n v="8589"/>
        <n v="916"/>
        <n v="3489"/>
        <n v="50161"/>
        <n v="3619"/>
        <n v="5533"/>
        <n v="50838"/>
        <n v="4467"/>
        <n v="385"/>
        <n v="19233"/>
        <n v="3750"/>
        <n v="13853"/>
        <n v="527"/>
        <n v="2687"/>
        <n v="6703"/>
      </sharedItems>
    </cacheField>
    <cacheField name="Discount%" numFmtId="0">
      <sharedItems containsSemiMixedTypes="0" containsString="0" containsNumber="1" containsInteger="1" minValue="0" maxValue="20"/>
    </cacheField>
    <cacheField name="TotalSales" numFmtId="0">
      <sharedItems containsSemiMixedTypes="0" containsString="0" containsNumber="1" containsInteger="1" minValue="360" maxValue="1353884" count="180">
        <n v="38178"/>
        <n v="155187"/>
        <n v="36777"/>
        <n v="28358"/>
        <n v="56704"/>
        <n v="416"/>
        <n v="75390"/>
        <n v="834544"/>
        <n v="176489"/>
        <n v="44835"/>
        <n v="3022"/>
        <n v="17684"/>
        <n v="32102"/>
        <n v="26220"/>
        <n v="184603"/>
        <n v="60560"/>
        <n v="52511"/>
        <n v="60252"/>
        <n v="364473"/>
        <n v="46930"/>
        <n v="221951"/>
        <n v="354249"/>
        <n v="9006"/>
        <n v="1271931"/>
        <n v="2233"/>
        <n v="58032"/>
        <n v="8490"/>
        <n v="58260"/>
        <n v="303554"/>
        <n v="103267"/>
        <n v="85488"/>
        <n v="3182"/>
        <n v="289310"/>
        <n v="240652"/>
        <n v="540124"/>
        <n v="1034792"/>
        <n v="74461"/>
        <n v="919030"/>
        <n v="42840"/>
        <n v="100096"/>
        <n v="348460"/>
        <n v="153188"/>
        <n v="56914"/>
        <n v="2873"/>
        <n v="307714"/>
        <n v="15860"/>
        <n v="145130"/>
        <n v="341280"/>
        <n v="467617"/>
        <n v="3358"/>
        <n v="467668"/>
        <n v="51976"/>
        <n v="1969"/>
        <n v="3607"/>
        <n v="384545"/>
        <n v="68256"/>
        <n v="28808"/>
        <n v="394947"/>
        <n v="71165"/>
        <n v="65165"/>
        <n v="71641"/>
        <n v="502400"/>
        <n v="250156"/>
        <n v="2806"/>
        <n v="76920"/>
        <n v="48892"/>
        <n v="9067"/>
        <n v="458688"/>
        <n v="580320"/>
        <n v="16774"/>
        <n v="19916"/>
        <n v="77534"/>
        <n v="11691"/>
        <n v="66810"/>
        <n v="55212"/>
        <n v="62388"/>
        <n v="38232"/>
        <n v="53064"/>
        <n v="44741"/>
        <n v="83767"/>
        <n v="62734"/>
        <n v="17486"/>
        <n v="8258"/>
        <n v="114869"/>
        <n v="177960"/>
        <n v="7032"/>
        <n v="709196"/>
        <n v="90742"/>
        <n v="911"/>
        <n v="146336"/>
        <n v="33779"/>
        <n v="177828"/>
        <n v="53266"/>
        <n v="1353884"/>
        <n v="39765"/>
        <n v="149310"/>
        <n v="8256"/>
        <n v="42168"/>
        <n v="8520"/>
        <n v="87761"/>
        <n v="223488"/>
        <n v="12914"/>
        <n v="2880"/>
        <n v="9917"/>
        <n v="864"/>
        <n v="276830"/>
        <n v="27672"/>
        <n v="84956"/>
        <n v="122400"/>
        <n v="18656"/>
        <n v="93053"/>
        <n v="112470"/>
        <n v="63414"/>
        <n v="12969"/>
        <n v="41113"/>
        <n v="235040"/>
        <n v="1227915"/>
        <n v="225968"/>
        <n v="3098"/>
        <n v="37829"/>
        <n v="85288"/>
        <n v="106513"/>
        <n v="470744"/>
        <n v="62080"/>
        <n v="1581"/>
        <n v="57939"/>
        <n v="620"/>
        <n v="88783"/>
        <n v="137332"/>
        <n v="113076"/>
        <n v="73285"/>
        <n v="114279"/>
        <n v="1158098"/>
        <n v="74960"/>
        <n v="36394"/>
        <n v="9040"/>
        <n v="8399"/>
        <n v="99712"/>
        <n v="63814"/>
        <n v="15810"/>
        <n v="41823"/>
        <n v="97835"/>
        <n v="12364"/>
        <n v="127884"/>
        <n v="36660"/>
        <n v="121914"/>
        <n v="1156344"/>
        <n v="1045086"/>
        <n v="268596"/>
        <n v="105437"/>
        <n v="396131"/>
        <n v="95965"/>
        <n v="55140"/>
        <n v="17088"/>
        <n v="232528"/>
        <n v="441203"/>
        <n v="4666"/>
        <n v="443621"/>
        <n v="1219485"/>
        <n v="16597"/>
        <n v="89978"/>
        <n v="77648"/>
        <n v="32107"/>
        <n v="360"/>
        <n v="58800"/>
        <n v="187670"/>
        <n v="1832"/>
        <n v="78502"/>
        <n v="351127"/>
        <n v="104951"/>
        <n v="101807"/>
        <n v="915084"/>
        <n v="116142"/>
        <n v="6545"/>
        <n v="173097"/>
        <n v="7500"/>
        <n v="232730"/>
        <n v="5270"/>
        <n v="63951"/>
        <n v="75074"/>
      </sharedItems>
    </cacheField>
    <cacheField name="Year" numFmtId="0">
      <sharedItems containsSemiMixedTypes="0" containsString="0" containsNumber="1" containsInteger="1" minValue="2024" maxValue="2024" count="1">
        <n v="2024"/>
      </sharedItems>
    </cacheField>
    <cacheField name="Month" numFmtId="0">
      <sharedItems containsSemiMixedTypes="0" containsString="0" containsNumber="1" containsInteger="1" minValue="1" maxValue="12" count="12">
        <n v="11"/>
        <n v="4"/>
        <n v="7"/>
        <n v="5"/>
        <n v="2"/>
        <n v="3"/>
        <n v="1"/>
        <n v="12"/>
        <n v="8"/>
        <n v="6"/>
        <n v="10"/>
        <n v="9"/>
      </sharedItems>
    </cacheField>
    <cacheField name="Quarter" numFmtId="0">
      <sharedItems containsSemiMixedTypes="0" containsString="0" containsNumber="1" containsInteger="1" minValue="1" maxValue="4" count="4">
        <n v="4"/>
        <n v="2"/>
        <n v="3"/>
        <n v="1"/>
      </sharedItems>
    </cacheField>
    <cacheField name="Week of Month" numFmtId="0">
      <sharedItems containsSemiMixedTypes="0" containsString="0" containsNumber="1" containsInteger="1" minValue="1" maxValue="6"/>
    </cacheField>
    <cacheField name="Day of Year" numFmtId="0">
      <sharedItems containsSemiMixedTypes="0" containsString="0" containsNumber="1" containsInteger="1" minValue="3" maxValue="365"/>
    </cacheField>
  </cacheFields>
  <extLst>
    <ext xmlns:x14="http://schemas.microsoft.com/office/spreadsheetml/2009/9/main" uri="{725AE2AE-9491-48be-B2B4-4EB974FC3084}">
      <x14:pivotCacheDefinition pivotCacheId="1929544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d v="2024-11-11T00:00:00"/>
    <s v="Neha"/>
    <x v="0"/>
    <x v="0"/>
    <x v="0"/>
    <x v="0"/>
    <n v="10"/>
    <x v="0"/>
    <x v="0"/>
    <x v="0"/>
    <x v="0"/>
    <n v="3"/>
    <n v="316"/>
  </r>
  <r>
    <d v="2024-04-21T00:00:00"/>
    <s v="Preeti"/>
    <x v="1"/>
    <x v="0"/>
    <x v="1"/>
    <x v="1"/>
    <n v="20"/>
    <x v="1"/>
    <x v="0"/>
    <x v="1"/>
    <x v="1"/>
    <n v="4"/>
    <n v="112"/>
  </r>
  <r>
    <d v="2024-04-25T00:00:00"/>
    <s v="Saanvi"/>
    <x v="2"/>
    <x v="1"/>
    <x v="2"/>
    <x v="2"/>
    <n v="16"/>
    <x v="2"/>
    <x v="0"/>
    <x v="1"/>
    <x v="1"/>
    <n v="4"/>
    <n v="116"/>
  </r>
  <r>
    <d v="2024-11-02T00:00:00"/>
    <s v="Rahul"/>
    <x v="3"/>
    <x v="2"/>
    <x v="3"/>
    <x v="3"/>
    <n v="20"/>
    <x v="3"/>
    <x v="0"/>
    <x v="0"/>
    <x v="0"/>
    <n v="1"/>
    <n v="307"/>
  </r>
  <r>
    <d v="2024-07-28T00:00:00"/>
    <s v="Arjun"/>
    <x v="0"/>
    <x v="3"/>
    <x v="4"/>
    <x v="4"/>
    <n v="0"/>
    <x v="4"/>
    <x v="0"/>
    <x v="2"/>
    <x v="2"/>
    <n v="5"/>
    <n v="210"/>
  </r>
  <r>
    <d v="2024-11-15T00:00:00"/>
    <s v="Unknown"/>
    <x v="4"/>
    <x v="4"/>
    <x v="5"/>
    <x v="5"/>
    <n v="15"/>
    <x v="5"/>
    <x v="0"/>
    <x v="0"/>
    <x v="0"/>
    <n v="3"/>
    <n v="320"/>
  </r>
  <r>
    <d v="2024-05-07T00:00:00"/>
    <s v="Preeti"/>
    <x v="3"/>
    <x v="4"/>
    <x v="6"/>
    <x v="6"/>
    <n v="16"/>
    <x v="6"/>
    <x v="0"/>
    <x v="3"/>
    <x v="1"/>
    <n v="2"/>
    <n v="128"/>
  </r>
  <r>
    <d v="2024-02-08T00:00:00"/>
    <s v="Aarav"/>
    <x v="2"/>
    <x v="5"/>
    <x v="7"/>
    <x v="7"/>
    <n v="0"/>
    <x v="7"/>
    <x v="0"/>
    <x v="4"/>
    <x v="3"/>
    <n v="2"/>
    <n v="39"/>
  </r>
  <r>
    <d v="2024-03-31T00:00:00"/>
    <s v="Sourav"/>
    <x v="5"/>
    <x v="0"/>
    <x v="8"/>
    <x v="8"/>
    <n v="10"/>
    <x v="8"/>
    <x v="0"/>
    <x v="5"/>
    <x v="3"/>
    <n v="6"/>
    <n v="91"/>
  </r>
  <r>
    <d v="2024-01-11T00:00:00"/>
    <s v="Kabir"/>
    <x v="5"/>
    <x v="2"/>
    <x v="0"/>
    <x v="9"/>
    <n v="16"/>
    <x v="9"/>
    <x v="0"/>
    <x v="6"/>
    <x v="3"/>
    <n v="2"/>
    <n v="11"/>
  </r>
  <r>
    <d v="2024-11-11T00:00:00"/>
    <s v="Lakshmi"/>
    <x v="2"/>
    <x v="6"/>
    <x v="9"/>
    <x v="10"/>
    <n v="15"/>
    <x v="10"/>
    <x v="0"/>
    <x v="0"/>
    <x v="0"/>
    <n v="3"/>
    <n v="316"/>
  </r>
  <r>
    <d v="2024-12-19T00:00:00"/>
    <s v="Mihir"/>
    <x v="4"/>
    <x v="7"/>
    <x v="6"/>
    <x v="11"/>
    <n v="15"/>
    <x v="11"/>
    <x v="0"/>
    <x v="7"/>
    <x v="0"/>
    <n v="3"/>
    <n v="354"/>
  </r>
  <r>
    <d v="2024-08-26T00:00:00"/>
    <s v="Rhea"/>
    <x v="3"/>
    <x v="6"/>
    <x v="3"/>
    <x v="12"/>
    <n v="20"/>
    <x v="12"/>
    <x v="0"/>
    <x v="8"/>
    <x v="2"/>
    <n v="5"/>
    <n v="239"/>
  </r>
  <r>
    <d v="2024-12-03T00:00:00"/>
    <s v="Sourav"/>
    <x v="3"/>
    <x v="8"/>
    <x v="10"/>
    <x v="13"/>
    <n v="10"/>
    <x v="13"/>
    <x v="0"/>
    <x v="7"/>
    <x v="0"/>
    <n v="1"/>
    <n v="338"/>
  </r>
  <r>
    <d v="2024-12-08T00:00:00"/>
    <s v="Siddharth"/>
    <x v="0"/>
    <x v="0"/>
    <x v="11"/>
    <x v="14"/>
    <n v="15"/>
    <x v="14"/>
    <x v="0"/>
    <x v="7"/>
    <x v="0"/>
    <n v="2"/>
    <n v="343"/>
  </r>
  <r>
    <d v="2024-11-06T00:00:00"/>
    <s v="Rahul"/>
    <x v="6"/>
    <x v="8"/>
    <x v="7"/>
    <x v="15"/>
    <n v="0"/>
    <x v="15"/>
    <x v="0"/>
    <x v="0"/>
    <x v="0"/>
    <n v="2"/>
    <n v="311"/>
  </r>
  <r>
    <d v="2024-04-12T00:00:00"/>
    <s v="Aisha"/>
    <x v="7"/>
    <x v="6"/>
    <x v="12"/>
    <x v="16"/>
    <n v="5"/>
    <x v="16"/>
    <x v="0"/>
    <x v="1"/>
    <x v="1"/>
    <n v="2"/>
    <n v="103"/>
  </r>
  <r>
    <d v="2024-07-21T00:00:00"/>
    <s v="Ishita"/>
    <x v="6"/>
    <x v="0"/>
    <x v="13"/>
    <x v="17"/>
    <n v="0"/>
    <x v="17"/>
    <x v="0"/>
    <x v="2"/>
    <x v="2"/>
    <n v="4"/>
    <n v="203"/>
  </r>
  <r>
    <d v="2024-06-02T00:00:00"/>
    <s v="Rhea"/>
    <x v="2"/>
    <x v="9"/>
    <x v="14"/>
    <x v="18"/>
    <n v="5"/>
    <x v="18"/>
    <x v="0"/>
    <x v="9"/>
    <x v="1"/>
    <n v="2"/>
    <n v="154"/>
  </r>
  <r>
    <d v="2024-02-26T00:00:00"/>
    <s v="Karan"/>
    <x v="8"/>
    <x v="8"/>
    <x v="5"/>
    <x v="19"/>
    <n v="0"/>
    <x v="19"/>
    <x v="0"/>
    <x v="4"/>
    <x v="3"/>
    <n v="5"/>
    <n v="57"/>
  </r>
  <r>
    <d v="2024-02-14T00:00:00"/>
    <s v="Karan"/>
    <x v="9"/>
    <x v="10"/>
    <x v="15"/>
    <x v="20"/>
    <n v="10"/>
    <x v="20"/>
    <x v="0"/>
    <x v="4"/>
    <x v="3"/>
    <n v="3"/>
    <n v="45"/>
  </r>
  <r>
    <d v="2024-12-30T00:00:00"/>
    <s v="Nisha"/>
    <x v="1"/>
    <x v="10"/>
    <x v="8"/>
    <x v="21"/>
    <n v="5"/>
    <x v="21"/>
    <x v="0"/>
    <x v="7"/>
    <x v="0"/>
    <n v="5"/>
    <n v="365"/>
  </r>
  <r>
    <d v="2024-10-27T00:00:00"/>
    <s v="Saanvi"/>
    <x v="3"/>
    <x v="8"/>
    <x v="16"/>
    <x v="22"/>
    <n v="15"/>
    <x v="22"/>
    <x v="0"/>
    <x v="10"/>
    <x v="0"/>
    <n v="5"/>
    <n v="301"/>
  </r>
  <r>
    <d v="2024-04-22T00:00:00"/>
    <s v="Ritika"/>
    <x v="6"/>
    <x v="5"/>
    <x v="17"/>
    <x v="23"/>
    <n v="10"/>
    <x v="23"/>
    <x v="0"/>
    <x v="1"/>
    <x v="1"/>
    <n v="4"/>
    <n v="113"/>
  </r>
  <r>
    <d v="2024-06-14T00:00:00"/>
    <s v="Neha"/>
    <x v="7"/>
    <x v="1"/>
    <x v="18"/>
    <x v="24"/>
    <n v="5"/>
    <x v="24"/>
    <x v="0"/>
    <x v="9"/>
    <x v="1"/>
    <n v="3"/>
    <n v="166"/>
  </r>
  <r>
    <d v="2024-04-29T00:00:00"/>
    <s v="Diya"/>
    <x v="7"/>
    <x v="3"/>
    <x v="4"/>
    <x v="25"/>
    <n v="16"/>
    <x v="25"/>
    <x v="0"/>
    <x v="1"/>
    <x v="1"/>
    <n v="5"/>
    <n v="120"/>
  </r>
  <r>
    <d v="2024-01-12T00:00:00"/>
    <s v="Jasmin"/>
    <x v="5"/>
    <x v="7"/>
    <x v="9"/>
    <x v="26"/>
    <n v="0"/>
    <x v="26"/>
    <x v="0"/>
    <x v="6"/>
    <x v="3"/>
    <n v="2"/>
    <n v="12"/>
  </r>
  <r>
    <d v="2024-07-15T00:00:00"/>
    <s v="Tanya"/>
    <x v="2"/>
    <x v="1"/>
    <x v="11"/>
    <x v="27"/>
    <n v="16"/>
    <x v="27"/>
    <x v="0"/>
    <x v="2"/>
    <x v="2"/>
    <n v="3"/>
    <n v="197"/>
  </r>
  <r>
    <d v="2024-06-04T00:00:00"/>
    <s v="Nisha"/>
    <x v="4"/>
    <x v="3"/>
    <x v="2"/>
    <x v="28"/>
    <n v="0"/>
    <x v="28"/>
    <x v="0"/>
    <x v="9"/>
    <x v="1"/>
    <n v="2"/>
    <n v="156"/>
  </r>
  <r>
    <d v="2024-12-18T00:00:00"/>
    <s v="Zara"/>
    <x v="1"/>
    <x v="6"/>
    <x v="10"/>
    <x v="29"/>
    <n v="5"/>
    <x v="29"/>
    <x v="0"/>
    <x v="7"/>
    <x v="0"/>
    <n v="3"/>
    <n v="353"/>
  </r>
  <r>
    <d v="2024-11-10T00:00:00"/>
    <s v="Sourav"/>
    <x v="3"/>
    <x v="6"/>
    <x v="11"/>
    <x v="30"/>
    <n v="20"/>
    <x v="30"/>
    <x v="0"/>
    <x v="0"/>
    <x v="0"/>
    <n v="3"/>
    <n v="315"/>
  </r>
  <r>
    <d v="2024-11-14T00:00:00"/>
    <s v="Vivaan"/>
    <x v="2"/>
    <x v="4"/>
    <x v="19"/>
    <x v="31"/>
    <n v="10"/>
    <x v="31"/>
    <x v="0"/>
    <x v="0"/>
    <x v="0"/>
    <n v="3"/>
    <n v="319"/>
  </r>
  <r>
    <d v="2024-04-25T00:00:00"/>
    <s v="Kabir"/>
    <x v="6"/>
    <x v="9"/>
    <x v="6"/>
    <x v="32"/>
    <n v="15"/>
    <x v="32"/>
    <x v="0"/>
    <x v="1"/>
    <x v="1"/>
    <n v="4"/>
    <n v="116"/>
  </r>
  <r>
    <d v="2024-08-12T00:00:00"/>
    <s v="Mihir"/>
    <x v="7"/>
    <x v="10"/>
    <x v="7"/>
    <x v="33"/>
    <n v="15"/>
    <x v="33"/>
    <x v="0"/>
    <x v="8"/>
    <x v="2"/>
    <n v="3"/>
    <n v="225"/>
  </r>
  <r>
    <d v="2024-08-24T00:00:00"/>
    <s v="Zara"/>
    <x v="5"/>
    <x v="5"/>
    <x v="16"/>
    <x v="34"/>
    <n v="15"/>
    <x v="34"/>
    <x v="0"/>
    <x v="8"/>
    <x v="2"/>
    <n v="4"/>
    <n v="237"/>
  </r>
  <r>
    <d v="2024-08-25T00:00:00"/>
    <s v="Kabir"/>
    <x v="1"/>
    <x v="5"/>
    <x v="20"/>
    <x v="35"/>
    <n v="0"/>
    <x v="35"/>
    <x v="0"/>
    <x v="8"/>
    <x v="2"/>
    <n v="5"/>
    <n v="238"/>
  </r>
  <r>
    <d v="2024-12-27T00:00:00"/>
    <s v="Omkar"/>
    <x v="7"/>
    <x v="7"/>
    <x v="8"/>
    <x v="36"/>
    <n v="16"/>
    <x v="36"/>
    <x v="0"/>
    <x v="7"/>
    <x v="0"/>
    <n v="4"/>
    <n v="362"/>
  </r>
  <r>
    <d v="2024-05-15T00:00:00"/>
    <s v="Vikram"/>
    <x v="5"/>
    <x v="5"/>
    <x v="8"/>
    <x v="37"/>
    <n v="16"/>
    <x v="37"/>
    <x v="0"/>
    <x v="3"/>
    <x v="1"/>
    <n v="3"/>
    <n v="136"/>
  </r>
  <r>
    <d v="2024-10-02T00:00:00"/>
    <s v="Aisha"/>
    <x v="5"/>
    <x v="8"/>
    <x v="14"/>
    <x v="38"/>
    <n v="16"/>
    <x v="38"/>
    <x v="0"/>
    <x v="10"/>
    <x v="0"/>
    <n v="1"/>
    <n v="276"/>
  </r>
  <r>
    <d v="2024-05-01T00:00:00"/>
    <s v="Zara"/>
    <x v="3"/>
    <x v="0"/>
    <x v="7"/>
    <x v="39"/>
    <n v="0"/>
    <x v="39"/>
    <x v="0"/>
    <x v="3"/>
    <x v="1"/>
    <n v="1"/>
    <n v="122"/>
  </r>
  <r>
    <d v="2024-04-24T00:00:00"/>
    <s v="Vikram"/>
    <x v="2"/>
    <x v="10"/>
    <x v="8"/>
    <x v="40"/>
    <n v="16"/>
    <x v="40"/>
    <x v="0"/>
    <x v="1"/>
    <x v="1"/>
    <n v="4"/>
    <n v="115"/>
  </r>
  <r>
    <d v="2024-09-14T00:00:00"/>
    <s v="Rohan S"/>
    <x v="9"/>
    <x v="0"/>
    <x v="21"/>
    <x v="41"/>
    <n v="0"/>
    <x v="41"/>
    <x v="0"/>
    <x v="11"/>
    <x v="2"/>
    <n v="2"/>
    <n v="258"/>
  </r>
  <r>
    <d v="2024-03-25T00:00:00"/>
    <s v="Zara"/>
    <x v="9"/>
    <x v="1"/>
    <x v="22"/>
    <x v="42"/>
    <n v="0"/>
    <x v="42"/>
    <x v="0"/>
    <x v="5"/>
    <x v="3"/>
    <n v="5"/>
    <n v="85"/>
  </r>
  <r>
    <d v="2024-12-06T00:00:00"/>
    <s v="Mihir"/>
    <x v="8"/>
    <x v="11"/>
    <x v="7"/>
    <x v="43"/>
    <n v="5"/>
    <x v="43"/>
    <x v="0"/>
    <x v="7"/>
    <x v="0"/>
    <n v="1"/>
    <n v="341"/>
  </r>
  <r>
    <d v="2024-06-25T00:00:00"/>
    <s v="Rohan S"/>
    <x v="1"/>
    <x v="3"/>
    <x v="7"/>
    <x v="44"/>
    <n v="16"/>
    <x v="44"/>
    <x v="0"/>
    <x v="9"/>
    <x v="1"/>
    <n v="5"/>
    <n v="177"/>
  </r>
  <r>
    <d v="2024-06-15T00:00:00"/>
    <s v="Harsh"/>
    <x v="9"/>
    <x v="2"/>
    <x v="16"/>
    <x v="45"/>
    <n v="20"/>
    <x v="45"/>
    <x v="0"/>
    <x v="9"/>
    <x v="1"/>
    <n v="3"/>
    <n v="167"/>
  </r>
  <r>
    <d v="2024-01-14T00:00:00"/>
    <s v="Unknown"/>
    <x v="3"/>
    <x v="3"/>
    <x v="21"/>
    <x v="46"/>
    <n v="5"/>
    <x v="46"/>
    <x v="0"/>
    <x v="6"/>
    <x v="3"/>
    <n v="3"/>
    <n v="14"/>
  </r>
  <r>
    <d v="2024-01-22T00:00:00"/>
    <s v="Ishita"/>
    <x v="5"/>
    <x v="3"/>
    <x v="23"/>
    <x v="47"/>
    <n v="16"/>
    <x v="47"/>
    <x v="0"/>
    <x v="6"/>
    <x v="3"/>
    <n v="4"/>
    <n v="22"/>
  </r>
  <r>
    <d v="2024-02-19T00:00:00"/>
    <s v="Omkar"/>
    <x v="2"/>
    <x v="5"/>
    <x v="12"/>
    <x v="48"/>
    <n v="10"/>
    <x v="48"/>
    <x v="0"/>
    <x v="4"/>
    <x v="3"/>
    <n v="4"/>
    <n v="50"/>
  </r>
  <r>
    <d v="2024-04-17T00:00:00"/>
    <s v="Rahul"/>
    <x v="4"/>
    <x v="4"/>
    <x v="5"/>
    <x v="49"/>
    <n v="15"/>
    <x v="49"/>
    <x v="0"/>
    <x v="1"/>
    <x v="1"/>
    <n v="3"/>
    <n v="108"/>
  </r>
  <r>
    <d v="2024-02-26T00:00:00"/>
    <s v="Siddharth"/>
    <x v="7"/>
    <x v="9"/>
    <x v="8"/>
    <x v="50"/>
    <n v="10"/>
    <x v="50"/>
    <x v="0"/>
    <x v="4"/>
    <x v="3"/>
    <n v="5"/>
    <n v="57"/>
  </r>
  <r>
    <d v="2024-03-07T00:00:00"/>
    <s v="Ritika"/>
    <x v="4"/>
    <x v="2"/>
    <x v="24"/>
    <x v="6"/>
    <n v="0"/>
    <x v="51"/>
    <x v="0"/>
    <x v="5"/>
    <x v="3"/>
    <n v="2"/>
    <n v="67"/>
  </r>
  <r>
    <d v="2024-06-09T00:00:00"/>
    <s v="Tanya"/>
    <x v="0"/>
    <x v="8"/>
    <x v="15"/>
    <x v="51"/>
    <n v="15"/>
    <x v="52"/>
    <x v="0"/>
    <x v="9"/>
    <x v="1"/>
    <n v="3"/>
    <n v="161"/>
  </r>
  <r>
    <d v="2024-05-12T00:00:00"/>
    <s v="Omkar"/>
    <x v="6"/>
    <x v="1"/>
    <x v="25"/>
    <x v="52"/>
    <n v="20"/>
    <x v="53"/>
    <x v="0"/>
    <x v="3"/>
    <x v="1"/>
    <n v="3"/>
    <n v="133"/>
  </r>
  <r>
    <d v="2024-04-21T00:00:00"/>
    <s v="Lakshmi"/>
    <x v="1"/>
    <x v="10"/>
    <x v="7"/>
    <x v="53"/>
    <n v="20"/>
    <x v="54"/>
    <x v="0"/>
    <x v="1"/>
    <x v="1"/>
    <n v="4"/>
    <n v="112"/>
  </r>
  <r>
    <d v="2024-02-29T00:00:00"/>
    <s v="Karan"/>
    <x v="5"/>
    <x v="6"/>
    <x v="6"/>
    <x v="54"/>
    <n v="10"/>
    <x v="55"/>
    <x v="0"/>
    <x v="4"/>
    <x v="3"/>
    <n v="5"/>
    <n v="60"/>
  </r>
  <r>
    <d v="2024-09-02T00:00:00"/>
    <s v="Zara"/>
    <x v="1"/>
    <x v="6"/>
    <x v="16"/>
    <x v="55"/>
    <n v="20"/>
    <x v="56"/>
    <x v="0"/>
    <x v="11"/>
    <x v="2"/>
    <n v="1"/>
    <n v="246"/>
  </r>
  <r>
    <d v="2024-11-12T00:00:00"/>
    <s v="Rohan S"/>
    <x v="8"/>
    <x v="10"/>
    <x v="10"/>
    <x v="56"/>
    <n v="15"/>
    <x v="57"/>
    <x v="0"/>
    <x v="0"/>
    <x v="0"/>
    <n v="3"/>
    <n v="317"/>
  </r>
  <r>
    <d v="2024-12-25T00:00:00"/>
    <s v="Harsh"/>
    <x v="6"/>
    <x v="7"/>
    <x v="1"/>
    <x v="57"/>
    <n v="20"/>
    <x v="58"/>
    <x v="0"/>
    <x v="7"/>
    <x v="0"/>
    <n v="4"/>
    <n v="360"/>
  </r>
  <r>
    <d v="2024-12-28T00:00:00"/>
    <s v="Aisha"/>
    <x v="9"/>
    <x v="2"/>
    <x v="7"/>
    <x v="6"/>
    <n v="20"/>
    <x v="59"/>
    <x v="0"/>
    <x v="7"/>
    <x v="0"/>
    <n v="4"/>
    <n v="363"/>
  </r>
  <r>
    <d v="2024-05-28T00:00:00"/>
    <s v="Zara"/>
    <x v="4"/>
    <x v="7"/>
    <x v="8"/>
    <x v="58"/>
    <n v="15"/>
    <x v="60"/>
    <x v="0"/>
    <x v="3"/>
    <x v="1"/>
    <n v="5"/>
    <n v="149"/>
  </r>
  <r>
    <d v="2024-11-27T00:00:00"/>
    <s v="Tanya"/>
    <x v="0"/>
    <x v="9"/>
    <x v="26"/>
    <x v="59"/>
    <n v="10"/>
    <x v="61"/>
    <x v="0"/>
    <x v="0"/>
    <x v="0"/>
    <n v="5"/>
    <n v="332"/>
  </r>
  <r>
    <d v="2024-08-19T00:00:00"/>
    <s v="Meera"/>
    <x v="1"/>
    <x v="3"/>
    <x v="27"/>
    <x v="60"/>
    <n v="5"/>
    <x v="62"/>
    <x v="0"/>
    <x v="8"/>
    <x v="2"/>
    <n v="4"/>
    <n v="232"/>
  </r>
  <r>
    <d v="2024-07-28T00:00:00"/>
    <s v="Siddharth"/>
    <x v="1"/>
    <x v="11"/>
    <x v="26"/>
    <x v="61"/>
    <n v="20"/>
    <x v="63"/>
    <x v="0"/>
    <x v="2"/>
    <x v="2"/>
    <n v="5"/>
    <n v="210"/>
  </r>
  <r>
    <d v="2024-02-07T00:00:00"/>
    <s v="Meera"/>
    <x v="7"/>
    <x v="11"/>
    <x v="3"/>
    <x v="62"/>
    <n v="0"/>
    <x v="64"/>
    <x v="0"/>
    <x v="4"/>
    <x v="3"/>
    <n v="2"/>
    <n v="38"/>
  </r>
  <r>
    <d v="2024-03-19T00:00:00"/>
    <s v="Arjun"/>
    <x v="0"/>
    <x v="4"/>
    <x v="7"/>
    <x v="63"/>
    <n v="5"/>
    <x v="65"/>
    <x v="0"/>
    <x v="5"/>
    <x v="3"/>
    <n v="4"/>
    <n v="79"/>
  </r>
  <r>
    <d v="2024-07-19T00:00:00"/>
    <s v="Sourav"/>
    <x v="3"/>
    <x v="0"/>
    <x v="18"/>
    <x v="64"/>
    <n v="15"/>
    <x v="66"/>
    <x v="0"/>
    <x v="2"/>
    <x v="2"/>
    <n v="3"/>
    <n v="201"/>
  </r>
  <r>
    <d v="2024-07-03T00:00:00"/>
    <s v="Mihir"/>
    <x v="3"/>
    <x v="9"/>
    <x v="3"/>
    <x v="65"/>
    <n v="20"/>
    <x v="67"/>
    <x v="0"/>
    <x v="2"/>
    <x v="2"/>
    <n v="1"/>
    <n v="185"/>
  </r>
  <r>
    <d v="2024-01-05T00:00:00"/>
    <s v="Tanya"/>
    <x v="4"/>
    <x v="10"/>
    <x v="22"/>
    <x v="66"/>
    <n v="0"/>
    <x v="68"/>
    <x v="0"/>
    <x v="6"/>
    <x v="3"/>
    <n v="1"/>
    <n v="5"/>
  </r>
  <r>
    <d v="2024-09-05T00:00:00"/>
    <s v="Vivaan"/>
    <x v="1"/>
    <x v="4"/>
    <x v="17"/>
    <x v="67"/>
    <n v="20"/>
    <x v="69"/>
    <x v="0"/>
    <x v="11"/>
    <x v="2"/>
    <n v="1"/>
    <n v="249"/>
  </r>
  <r>
    <d v="2024-09-25T00:00:00"/>
    <s v="Neha"/>
    <x v="4"/>
    <x v="3"/>
    <x v="7"/>
    <x v="68"/>
    <n v="16"/>
    <x v="70"/>
    <x v="0"/>
    <x v="11"/>
    <x v="2"/>
    <n v="4"/>
    <n v="269"/>
  </r>
  <r>
    <d v="2024-03-13T00:00:00"/>
    <s v="Lakshmi"/>
    <x v="4"/>
    <x v="2"/>
    <x v="6"/>
    <x v="69"/>
    <n v="5"/>
    <x v="71"/>
    <x v="0"/>
    <x v="5"/>
    <x v="3"/>
    <n v="3"/>
    <n v="73"/>
  </r>
  <r>
    <d v="2024-10-27T00:00:00"/>
    <s v="Unknown"/>
    <x v="2"/>
    <x v="11"/>
    <x v="7"/>
    <x v="70"/>
    <n v="10"/>
    <x v="72"/>
    <x v="0"/>
    <x v="10"/>
    <x v="0"/>
    <n v="5"/>
    <n v="301"/>
  </r>
  <r>
    <d v="2024-04-12T00:00:00"/>
    <s v="Harsh"/>
    <x v="6"/>
    <x v="11"/>
    <x v="7"/>
    <x v="71"/>
    <n v="16"/>
    <x v="73"/>
    <x v="0"/>
    <x v="1"/>
    <x v="1"/>
    <n v="2"/>
    <n v="103"/>
  </r>
  <r>
    <d v="2024-09-13T00:00:00"/>
    <s v="Lakshmi"/>
    <x v="9"/>
    <x v="4"/>
    <x v="6"/>
    <x v="72"/>
    <n v="20"/>
    <x v="74"/>
    <x v="0"/>
    <x v="11"/>
    <x v="2"/>
    <n v="2"/>
    <n v="257"/>
  </r>
  <r>
    <d v="2024-10-09T00:00:00"/>
    <s v="Nisha"/>
    <x v="5"/>
    <x v="9"/>
    <x v="9"/>
    <x v="73"/>
    <n v="20"/>
    <x v="75"/>
    <x v="0"/>
    <x v="10"/>
    <x v="0"/>
    <n v="2"/>
    <n v="283"/>
  </r>
  <r>
    <d v="2024-11-10T00:00:00"/>
    <s v="Aisha"/>
    <x v="4"/>
    <x v="11"/>
    <x v="27"/>
    <x v="74"/>
    <n v="16"/>
    <x v="76"/>
    <x v="0"/>
    <x v="0"/>
    <x v="0"/>
    <n v="3"/>
    <n v="315"/>
  </r>
  <r>
    <d v="2024-10-27T00:00:00"/>
    <s v="Vivaan"/>
    <x v="4"/>
    <x v="11"/>
    <x v="3"/>
    <x v="75"/>
    <n v="0"/>
    <x v="77"/>
    <x v="0"/>
    <x v="10"/>
    <x v="0"/>
    <n v="5"/>
    <n v="301"/>
  </r>
  <r>
    <d v="2024-02-17T00:00:00"/>
    <s v="Kabir"/>
    <x v="3"/>
    <x v="2"/>
    <x v="16"/>
    <x v="76"/>
    <n v="20"/>
    <x v="78"/>
    <x v="0"/>
    <x v="4"/>
    <x v="3"/>
    <n v="3"/>
    <n v="48"/>
  </r>
  <r>
    <d v="2024-12-28T00:00:00"/>
    <s v="Lakshmi"/>
    <x v="9"/>
    <x v="0"/>
    <x v="12"/>
    <x v="77"/>
    <n v="15"/>
    <x v="79"/>
    <x v="0"/>
    <x v="7"/>
    <x v="0"/>
    <n v="4"/>
    <n v="363"/>
  </r>
  <r>
    <d v="2024-04-16T00:00:00"/>
    <s v="Omkar"/>
    <x v="6"/>
    <x v="3"/>
    <x v="13"/>
    <x v="78"/>
    <n v="5"/>
    <x v="80"/>
    <x v="0"/>
    <x v="1"/>
    <x v="1"/>
    <n v="3"/>
    <n v="107"/>
  </r>
  <r>
    <d v="2024-01-28T00:00:00"/>
    <s v="Ananya"/>
    <x v="4"/>
    <x v="1"/>
    <x v="13"/>
    <x v="79"/>
    <n v="20"/>
    <x v="81"/>
    <x v="0"/>
    <x v="6"/>
    <x v="3"/>
    <n v="5"/>
    <n v="28"/>
  </r>
  <r>
    <d v="2024-12-08T00:00:00"/>
    <s v="Neha"/>
    <x v="6"/>
    <x v="4"/>
    <x v="7"/>
    <x v="80"/>
    <n v="15"/>
    <x v="82"/>
    <x v="0"/>
    <x v="7"/>
    <x v="0"/>
    <n v="2"/>
    <n v="343"/>
  </r>
  <r>
    <d v="2024-10-29T00:00:00"/>
    <s v="Rahul"/>
    <x v="1"/>
    <x v="4"/>
    <x v="3"/>
    <x v="81"/>
    <n v="10"/>
    <x v="83"/>
    <x v="0"/>
    <x v="10"/>
    <x v="0"/>
    <n v="5"/>
    <n v="303"/>
  </r>
  <r>
    <d v="2024-03-31T00:00:00"/>
    <s v="Sourav"/>
    <x v="9"/>
    <x v="6"/>
    <x v="23"/>
    <x v="82"/>
    <n v="16"/>
    <x v="84"/>
    <x v="0"/>
    <x v="5"/>
    <x v="3"/>
    <n v="6"/>
    <n v="91"/>
  </r>
  <r>
    <d v="2024-07-24T00:00:00"/>
    <s v="Karan"/>
    <x v="4"/>
    <x v="6"/>
    <x v="13"/>
    <x v="83"/>
    <n v="0"/>
    <x v="85"/>
    <x v="0"/>
    <x v="2"/>
    <x v="2"/>
    <n v="4"/>
    <n v="206"/>
  </r>
  <r>
    <d v="2024-09-20T00:00:00"/>
    <s v="Jasmin"/>
    <x v="6"/>
    <x v="5"/>
    <x v="6"/>
    <x v="84"/>
    <n v="10"/>
    <x v="86"/>
    <x v="0"/>
    <x v="11"/>
    <x v="2"/>
    <n v="3"/>
    <n v="264"/>
  </r>
  <r>
    <d v="2024-07-03T00:00:00"/>
    <s v="Sourav"/>
    <x v="2"/>
    <x v="0"/>
    <x v="12"/>
    <x v="85"/>
    <n v="15"/>
    <x v="87"/>
    <x v="0"/>
    <x v="2"/>
    <x v="2"/>
    <n v="1"/>
    <n v="185"/>
  </r>
  <r>
    <d v="2024-03-22T00:00:00"/>
    <s v="Karan"/>
    <x v="5"/>
    <x v="11"/>
    <x v="2"/>
    <x v="86"/>
    <n v="10"/>
    <x v="88"/>
    <x v="0"/>
    <x v="5"/>
    <x v="3"/>
    <n v="4"/>
    <n v="82"/>
  </r>
  <r>
    <d v="2024-10-31T00:00:00"/>
    <s v="Lakshmi"/>
    <x v="8"/>
    <x v="3"/>
    <x v="21"/>
    <x v="87"/>
    <n v="10"/>
    <x v="89"/>
    <x v="0"/>
    <x v="10"/>
    <x v="0"/>
    <n v="5"/>
    <n v="305"/>
  </r>
  <r>
    <d v="2024-04-23T00:00:00"/>
    <s v="Arjun"/>
    <x v="1"/>
    <x v="1"/>
    <x v="12"/>
    <x v="88"/>
    <n v="10"/>
    <x v="90"/>
    <x v="0"/>
    <x v="1"/>
    <x v="1"/>
    <n v="4"/>
    <n v="114"/>
  </r>
  <r>
    <d v="2024-09-13T00:00:00"/>
    <s v="Meera"/>
    <x v="1"/>
    <x v="0"/>
    <x v="26"/>
    <x v="89"/>
    <n v="0"/>
    <x v="91"/>
    <x v="0"/>
    <x v="11"/>
    <x v="2"/>
    <n v="2"/>
    <n v="257"/>
  </r>
  <r>
    <d v="2024-02-27T00:00:00"/>
    <s v="Mihir"/>
    <x v="5"/>
    <x v="1"/>
    <x v="27"/>
    <x v="90"/>
    <n v="5"/>
    <x v="92"/>
    <x v="0"/>
    <x v="4"/>
    <x v="3"/>
    <n v="5"/>
    <n v="58"/>
  </r>
  <r>
    <d v="2024-01-03T00:00:00"/>
    <s v="Nisha"/>
    <x v="4"/>
    <x v="5"/>
    <x v="1"/>
    <x v="91"/>
    <n v="0"/>
    <x v="93"/>
    <x v="0"/>
    <x v="6"/>
    <x v="3"/>
    <n v="1"/>
    <n v="3"/>
  </r>
  <r>
    <d v="2024-09-08T00:00:00"/>
    <s v="Jasmin"/>
    <x v="2"/>
    <x v="11"/>
    <x v="14"/>
    <x v="92"/>
    <n v="10"/>
    <x v="94"/>
    <x v="0"/>
    <x v="11"/>
    <x v="2"/>
    <n v="2"/>
    <n v="252"/>
  </r>
  <r>
    <d v="2024-05-03T00:00:00"/>
    <s v="Vikram"/>
    <x v="4"/>
    <x v="0"/>
    <x v="7"/>
    <x v="93"/>
    <n v="16"/>
    <x v="95"/>
    <x v="0"/>
    <x v="3"/>
    <x v="1"/>
    <n v="1"/>
    <n v="124"/>
  </r>
  <r>
    <d v="2024-01-27T00:00:00"/>
    <s v="Saanvi"/>
    <x v="9"/>
    <x v="11"/>
    <x v="3"/>
    <x v="94"/>
    <n v="20"/>
    <x v="96"/>
    <x v="0"/>
    <x v="6"/>
    <x v="3"/>
    <n v="4"/>
    <n v="27"/>
  </r>
  <r>
    <d v="2024-08-22T00:00:00"/>
    <s v="Aarav"/>
    <x v="7"/>
    <x v="8"/>
    <x v="24"/>
    <x v="95"/>
    <n v="0"/>
    <x v="97"/>
    <x v="0"/>
    <x v="8"/>
    <x v="2"/>
    <n v="4"/>
    <n v="235"/>
  </r>
  <r>
    <d v="2024-03-21T00:00:00"/>
    <s v="Ishita"/>
    <x v="4"/>
    <x v="7"/>
    <x v="9"/>
    <x v="96"/>
    <n v="0"/>
    <x v="98"/>
    <x v="0"/>
    <x v="5"/>
    <x v="3"/>
    <n v="4"/>
    <n v="81"/>
  </r>
  <r>
    <d v="2024-04-20T00:00:00"/>
    <s v="Unknown"/>
    <x v="4"/>
    <x v="6"/>
    <x v="10"/>
    <x v="97"/>
    <n v="20"/>
    <x v="99"/>
    <x v="0"/>
    <x v="1"/>
    <x v="1"/>
    <n v="3"/>
    <n v="111"/>
  </r>
  <r>
    <d v="2024-03-12T00:00:00"/>
    <s v="Harsh"/>
    <x v="9"/>
    <x v="0"/>
    <x v="10"/>
    <x v="98"/>
    <n v="5"/>
    <x v="100"/>
    <x v="0"/>
    <x v="5"/>
    <x v="3"/>
    <n v="3"/>
    <n v="72"/>
  </r>
  <r>
    <d v="2024-09-12T00:00:00"/>
    <s v="Rohan S"/>
    <x v="9"/>
    <x v="11"/>
    <x v="12"/>
    <x v="99"/>
    <n v="0"/>
    <x v="101"/>
    <x v="0"/>
    <x v="11"/>
    <x v="2"/>
    <n v="2"/>
    <n v="256"/>
  </r>
  <r>
    <d v="2024-06-29T00:00:00"/>
    <s v="Kabir"/>
    <x v="2"/>
    <x v="7"/>
    <x v="4"/>
    <x v="100"/>
    <n v="10"/>
    <x v="102"/>
    <x v="0"/>
    <x v="9"/>
    <x v="1"/>
    <n v="5"/>
    <n v="181"/>
  </r>
  <r>
    <d v="2024-11-14T00:00:00"/>
    <s v="Jasmin"/>
    <x v="7"/>
    <x v="1"/>
    <x v="13"/>
    <x v="101"/>
    <n v="20"/>
    <x v="103"/>
    <x v="0"/>
    <x v="0"/>
    <x v="0"/>
    <n v="3"/>
    <n v="319"/>
  </r>
  <r>
    <d v="2024-05-29T00:00:00"/>
    <s v="Sourav"/>
    <x v="6"/>
    <x v="8"/>
    <x v="15"/>
    <x v="102"/>
    <n v="20"/>
    <x v="104"/>
    <x v="0"/>
    <x v="3"/>
    <x v="1"/>
    <n v="5"/>
    <n v="150"/>
  </r>
  <r>
    <d v="2024-09-06T00:00:00"/>
    <s v="Arjun"/>
    <x v="8"/>
    <x v="3"/>
    <x v="8"/>
    <x v="103"/>
    <n v="0"/>
    <x v="105"/>
    <x v="0"/>
    <x v="11"/>
    <x v="2"/>
    <n v="1"/>
    <n v="250"/>
  </r>
  <r>
    <d v="2024-05-23T00:00:00"/>
    <s v="Ritika"/>
    <x v="3"/>
    <x v="8"/>
    <x v="15"/>
    <x v="104"/>
    <n v="0"/>
    <x v="106"/>
    <x v="0"/>
    <x v="3"/>
    <x v="1"/>
    <n v="4"/>
    <n v="144"/>
  </r>
  <r>
    <d v="2024-04-26T00:00:00"/>
    <s v="Rhea"/>
    <x v="3"/>
    <x v="2"/>
    <x v="6"/>
    <x v="105"/>
    <n v="10"/>
    <x v="107"/>
    <x v="0"/>
    <x v="1"/>
    <x v="1"/>
    <n v="4"/>
    <n v="117"/>
  </r>
  <r>
    <d v="2024-06-27T00:00:00"/>
    <s v="Aarav"/>
    <x v="3"/>
    <x v="2"/>
    <x v="23"/>
    <x v="106"/>
    <n v="15"/>
    <x v="108"/>
    <x v="0"/>
    <x v="9"/>
    <x v="1"/>
    <n v="5"/>
    <n v="179"/>
  </r>
  <r>
    <d v="2024-01-30T00:00:00"/>
    <s v="Vikram"/>
    <x v="2"/>
    <x v="11"/>
    <x v="7"/>
    <x v="6"/>
    <n v="15"/>
    <x v="109"/>
    <x v="0"/>
    <x v="6"/>
    <x v="3"/>
    <n v="5"/>
    <n v="30"/>
  </r>
  <r>
    <d v="2024-10-26T00:00:00"/>
    <s v="Karan"/>
    <x v="4"/>
    <x v="3"/>
    <x v="15"/>
    <x v="107"/>
    <n v="20"/>
    <x v="110"/>
    <x v="0"/>
    <x v="10"/>
    <x v="0"/>
    <n v="4"/>
    <n v="300"/>
  </r>
  <r>
    <d v="2024-01-05T00:00:00"/>
    <s v="Saanvi"/>
    <x v="4"/>
    <x v="8"/>
    <x v="2"/>
    <x v="108"/>
    <n v="16"/>
    <x v="111"/>
    <x v="0"/>
    <x v="6"/>
    <x v="3"/>
    <n v="1"/>
    <n v="5"/>
  </r>
  <r>
    <d v="2024-04-06T00:00:00"/>
    <s v="Mihir"/>
    <x v="9"/>
    <x v="1"/>
    <x v="22"/>
    <x v="109"/>
    <n v="10"/>
    <x v="112"/>
    <x v="0"/>
    <x v="1"/>
    <x v="1"/>
    <n v="1"/>
    <n v="97"/>
  </r>
  <r>
    <d v="2024-09-22T00:00:00"/>
    <s v="Kabir"/>
    <x v="4"/>
    <x v="1"/>
    <x v="28"/>
    <x v="6"/>
    <n v="10"/>
    <x v="113"/>
    <x v="0"/>
    <x v="11"/>
    <x v="2"/>
    <n v="4"/>
    <n v="266"/>
  </r>
  <r>
    <d v="2024-01-29T00:00:00"/>
    <s v="Yuvraj"/>
    <x v="7"/>
    <x v="5"/>
    <x v="18"/>
    <x v="110"/>
    <n v="15"/>
    <x v="114"/>
    <x v="0"/>
    <x v="6"/>
    <x v="3"/>
    <n v="5"/>
    <n v="29"/>
  </r>
  <r>
    <d v="2024-10-02T00:00:00"/>
    <s v="Kabir"/>
    <x v="2"/>
    <x v="9"/>
    <x v="5"/>
    <x v="111"/>
    <n v="5"/>
    <x v="115"/>
    <x v="0"/>
    <x v="10"/>
    <x v="0"/>
    <n v="1"/>
    <n v="276"/>
  </r>
  <r>
    <d v="2024-06-10T00:00:00"/>
    <s v="Tanya"/>
    <x v="0"/>
    <x v="5"/>
    <x v="22"/>
    <x v="112"/>
    <n v="10"/>
    <x v="116"/>
    <x v="0"/>
    <x v="9"/>
    <x v="1"/>
    <n v="3"/>
    <n v="162"/>
  </r>
  <r>
    <d v="2024-09-04T00:00:00"/>
    <s v="Aarav"/>
    <x v="6"/>
    <x v="0"/>
    <x v="1"/>
    <x v="113"/>
    <n v="10"/>
    <x v="117"/>
    <x v="0"/>
    <x v="11"/>
    <x v="2"/>
    <n v="1"/>
    <n v="248"/>
  </r>
  <r>
    <d v="2024-11-18T00:00:00"/>
    <s v="Ananya"/>
    <x v="8"/>
    <x v="4"/>
    <x v="7"/>
    <x v="114"/>
    <n v="20"/>
    <x v="118"/>
    <x v="0"/>
    <x v="0"/>
    <x v="0"/>
    <n v="4"/>
    <n v="323"/>
  </r>
  <r>
    <d v="2024-05-07T00:00:00"/>
    <s v="Meera"/>
    <x v="1"/>
    <x v="6"/>
    <x v="12"/>
    <x v="115"/>
    <n v="0"/>
    <x v="119"/>
    <x v="0"/>
    <x v="3"/>
    <x v="1"/>
    <n v="2"/>
    <n v="128"/>
  </r>
  <r>
    <d v="2024-10-01T00:00:00"/>
    <s v="Preeti"/>
    <x v="8"/>
    <x v="1"/>
    <x v="1"/>
    <x v="116"/>
    <n v="16"/>
    <x v="120"/>
    <x v="0"/>
    <x v="10"/>
    <x v="0"/>
    <n v="1"/>
    <n v="275"/>
  </r>
  <r>
    <d v="2024-02-23T00:00:00"/>
    <s v="Tanya"/>
    <x v="9"/>
    <x v="3"/>
    <x v="12"/>
    <x v="117"/>
    <n v="0"/>
    <x v="121"/>
    <x v="0"/>
    <x v="4"/>
    <x v="3"/>
    <n v="4"/>
    <n v="54"/>
  </r>
  <r>
    <d v="2024-11-19T00:00:00"/>
    <s v="Ananya"/>
    <x v="4"/>
    <x v="9"/>
    <x v="11"/>
    <x v="118"/>
    <n v="5"/>
    <x v="122"/>
    <x v="0"/>
    <x v="0"/>
    <x v="0"/>
    <n v="4"/>
    <n v="324"/>
  </r>
  <r>
    <d v="2024-09-04T00:00:00"/>
    <s v="Omkar"/>
    <x v="3"/>
    <x v="2"/>
    <x v="5"/>
    <x v="119"/>
    <n v="0"/>
    <x v="123"/>
    <x v="0"/>
    <x v="11"/>
    <x v="2"/>
    <n v="1"/>
    <n v="248"/>
  </r>
  <r>
    <d v="2024-01-19T00:00:00"/>
    <s v="Ishita"/>
    <x v="6"/>
    <x v="7"/>
    <x v="4"/>
    <x v="120"/>
    <n v="5"/>
    <x v="124"/>
    <x v="0"/>
    <x v="6"/>
    <x v="3"/>
    <n v="3"/>
    <n v="19"/>
  </r>
  <r>
    <d v="2024-09-05T00:00:00"/>
    <s v="Jasmin"/>
    <x v="6"/>
    <x v="4"/>
    <x v="2"/>
    <x v="121"/>
    <n v="10"/>
    <x v="125"/>
    <x v="0"/>
    <x v="11"/>
    <x v="2"/>
    <n v="1"/>
    <n v="249"/>
  </r>
  <r>
    <d v="2024-07-16T00:00:00"/>
    <s v="Zara"/>
    <x v="6"/>
    <x v="11"/>
    <x v="29"/>
    <x v="122"/>
    <n v="20"/>
    <x v="126"/>
    <x v="0"/>
    <x v="2"/>
    <x v="2"/>
    <n v="3"/>
    <n v="198"/>
  </r>
  <r>
    <d v="2024-01-28T00:00:00"/>
    <s v="Zara"/>
    <x v="2"/>
    <x v="9"/>
    <x v="4"/>
    <x v="123"/>
    <n v="10"/>
    <x v="127"/>
    <x v="0"/>
    <x v="6"/>
    <x v="3"/>
    <n v="5"/>
    <n v="28"/>
  </r>
  <r>
    <d v="2024-01-10T00:00:00"/>
    <s v="Aarav"/>
    <x v="9"/>
    <x v="8"/>
    <x v="7"/>
    <x v="124"/>
    <n v="5"/>
    <x v="128"/>
    <x v="0"/>
    <x v="6"/>
    <x v="3"/>
    <n v="2"/>
    <n v="10"/>
  </r>
  <r>
    <d v="2024-12-20T00:00:00"/>
    <s v="Saanvi"/>
    <x v="7"/>
    <x v="5"/>
    <x v="9"/>
    <x v="125"/>
    <n v="20"/>
    <x v="129"/>
    <x v="0"/>
    <x v="7"/>
    <x v="0"/>
    <n v="3"/>
    <n v="355"/>
  </r>
  <r>
    <d v="2024-11-03T00:00:00"/>
    <s v="Jasmin"/>
    <x v="7"/>
    <x v="2"/>
    <x v="2"/>
    <x v="126"/>
    <n v="5"/>
    <x v="130"/>
    <x v="0"/>
    <x v="0"/>
    <x v="0"/>
    <n v="2"/>
    <n v="308"/>
  </r>
  <r>
    <d v="2024-01-22T00:00:00"/>
    <s v="Tanya"/>
    <x v="4"/>
    <x v="10"/>
    <x v="13"/>
    <x v="127"/>
    <n v="5"/>
    <x v="131"/>
    <x v="0"/>
    <x v="6"/>
    <x v="3"/>
    <n v="4"/>
    <n v="22"/>
  </r>
  <r>
    <d v="2024-08-03T00:00:00"/>
    <s v="Tanya"/>
    <x v="9"/>
    <x v="5"/>
    <x v="17"/>
    <x v="128"/>
    <n v="20"/>
    <x v="132"/>
    <x v="0"/>
    <x v="8"/>
    <x v="2"/>
    <n v="1"/>
    <n v="216"/>
  </r>
  <r>
    <d v="2024-10-19T00:00:00"/>
    <s v="Karan"/>
    <x v="5"/>
    <x v="8"/>
    <x v="11"/>
    <x v="129"/>
    <n v="0"/>
    <x v="133"/>
    <x v="0"/>
    <x v="10"/>
    <x v="0"/>
    <n v="3"/>
    <n v="293"/>
  </r>
  <r>
    <d v="2024-01-19T00:00:00"/>
    <s v="Preeti"/>
    <x v="8"/>
    <x v="11"/>
    <x v="15"/>
    <x v="130"/>
    <n v="15"/>
    <x v="134"/>
    <x v="0"/>
    <x v="6"/>
    <x v="3"/>
    <n v="3"/>
    <n v="19"/>
  </r>
  <r>
    <d v="2024-01-27T00:00:00"/>
    <s v="Sourav"/>
    <x v="6"/>
    <x v="11"/>
    <x v="28"/>
    <x v="131"/>
    <n v="16"/>
    <x v="135"/>
    <x v="0"/>
    <x v="6"/>
    <x v="3"/>
    <n v="4"/>
    <n v="27"/>
  </r>
  <r>
    <d v="2024-12-05T00:00:00"/>
    <s v="Zara"/>
    <x v="7"/>
    <x v="8"/>
    <x v="4"/>
    <x v="132"/>
    <n v="10"/>
    <x v="136"/>
    <x v="0"/>
    <x v="7"/>
    <x v="0"/>
    <n v="1"/>
    <n v="340"/>
  </r>
  <r>
    <d v="2024-11-17T00:00:00"/>
    <s v="Lakshmi"/>
    <x v="3"/>
    <x v="0"/>
    <x v="7"/>
    <x v="133"/>
    <n v="5"/>
    <x v="137"/>
    <x v="0"/>
    <x v="0"/>
    <x v="0"/>
    <n v="4"/>
    <n v="322"/>
  </r>
  <r>
    <d v="2024-08-18T00:00:00"/>
    <s v="Karan"/>
    <x v="9"/>
    <x v="8"/>
    <x v="6"/>
    <x v="134"/>
    <n v="10"/>
    <x v="138"/>
    <x v="0"/>
    <x v="8"/>
    <x v="2"/>
    <n v="4"/>
    <n v="231"/>
  </r>
  <r>
    <d v="2024-12-13T00:00:00"/>
    <s v="Kabir"/>
    <x v="2"/>
    <x v="8"/>
    <x v="13"/>
    <x v="6"/>
    <n v="0"/>
    <x v="139"/>
    <x v="0"/>
    <x v="7"/>
    <x v="0"/>
    <n v="2"/>
    <n v="348"/>
  </r>
  <r>
    <d v="2024-06-06T00:00:00"/>
    <s v="Tanya"/>
    <x v="6"/>
    <x v="2"/>
    <x v="12"/>
    <x v="135"/>
    <n v="15"/>
    <x v="140"/>
    <x v="0"/>
    <x v="9"/>
    <x v="1"/>
    <n v="2"/>
    <n v="158"/>
  </r>
  <r>
    <d v="2024-08-23T00:00:00"/>
    <s v="Lakshmi"/>
    <x v="3"/>
    <x v="4"/>
    <x v="22"/>
    <x v="136"/>
    <n v="10"/>
    <x v="141"/>
    <x v="0"/>
    <x v="8"/>
    <x v="2"/>
    <n v="4"/>
    <n v="236"/>
  </r>
  <r>
    <d v="2024-04-30T00:00:00"/>
    <s v="Yuvraj"/>
    <x v="8"/>
    <x v="7"/>
    <x v="20"/>
    <x v="137"/>
    <n v="0"/>
    <x v="142"/>
    <x v="0"/>
    <x v="1"/>
    <x v="1"/>
    <n v="5"/>
    <n v="121"/>
  </r>
  <r>
    <d v="2024-03-16T00:00:00"/>
    <s v="Lakshmi"/>
    <x v="4"/>
    <x v="2"/>
    <x v="17"/>
    <x v="138"/>
    <n v="15"/>
    <x v="143"/>
    <x v="0"/>
    <x v="5"/>
    <x v="3"/>
    <n v="3"/>
    <n v="76"/>
  </r>
  <r>
    <d v="2024-11-15T00:00:00"/>
    <s v="Meera"/>
    <x v="8"/>
    <x v="11"/>
    <x v="23"/>
    <x v="139"/>
    <n v="0"/>
    <x v="144"/>
    <x v="0"/>
    <x v="0"/>
    <x v="0"/>
    <n v="3"/>
    <n v="320"/>
  </r>
  <r>
    <d v="2024-11-05T00:00:00"/>
    <s v="Vivaan"/>
    <x v="0"/>
    <x v="6"/>
    <x v="2"/>
    <x v="140"/>
    <n v="15"/>
    <x v="145"/>
    <x v="0"/>
    <x v="0"/>
    <x v="0"/>
    <n v="2"/>
    <n v="310"/>
  </r>
  <r>
    <d v="2024-07-03T00:00:00"/>
    <s v="Vivaan"/>
    <x v="4"/>
    <x v="5"/>
    <x v="3"/>
    <x v="141"/>
    <n v="0"/>
    <x v="146"/>
    <x v="0"/>
    <x v="2"/>
    <x v="2"/>
    <n v="1"/>
    <n v="185"/>
  </r>
  <r>
    <d v="2024-11-05T00:00:00"/>
    <s v="Omkar"/>
    <x v="2"/>
    <x v="5"/>
    <x v="26"/>
    <x v="142"/>
    <n v="16"/>
    <x v="147"/>
    <x v="0"/>
    <x v="0"/>
    <x v="0"/>
    <n v="2"/>
    <n v="310"/>
  </r>
  <r>
    <d v="2024-01-07T00:00:00"/>
    <s v="Vikram"/>
    <x v="3"/>
    <x v="5"/>
    <x v="13"/>
    <x v="143"/>
    <n v="10"/>
    <x v="148"/>
    <x v="0"/>
    <x v="6"/>
    <x v="3"/>
    <n v="2"/>
    <n v="7"/>
  </r>
  <r>
    <d v="2024-08-13T00:00:00"/>
    <s v="Mihir"/>
    <x v="3"/>
    <x v="3"/>
    <x v="24"/>
    <x v="144"/>
    <n v="10"/>
    <x v="149"/>
    <x v="0"/>
    <x v="8"/>
    <x v="2"/>
    <n v="3"/>
    <n v="226"/>
  </r>
  <r>
    <d v="2024-12-07T00:00:00"/>
    <s v="Ananya"/>
    <x v="1"/>
    <x v="10"/>
    <x v="8"/>
    <x v="145"/>
    <n v="0"/>
    <x v="150"/>
    <x v="0"/>
    <x v="7"/>
    <x v="0"/>
    <n v="1"/>
    <n v="342"/>
  </r>
  <r>
    <d v="2024-07-21T00:00:00"/>
    <s v="Rohan"/>
    <x v="2"/>
    <x v="0"/>
    <x v="11"/>
    <x v="146"/>
    <n v="15"/>
    <x v="151"/>
    <x v="0"/>
    <x v="2"/>
    <x v="2"/>
    <n v="4"/>
    <n v="203"/>
  </r>
  <r>
    <d v="2024-08-23T00:00:00"/>
    <s v="Siddharth"/>
    <x v="4"/>
    <x v="3"/>
    <x v="28"/>
    <x v="147"/>
    <n v="16"/>
    <x v="152"/>
    <x v="0"/>
    <x v="8"/>
    <x v="2"/>
    <n v="4"/>
    <n v="236"/>
  </r>
  <r>
    <d v="2024-04-19T00:00:00"/>
    <s v="Karan"/>
    <x v="1"/>
    <x v="4"/>
    <x v="1"/>
    <x v="148"/>
    <n v="15"/>
    <x v="153"/>
    <x v="0"/>
    <x v="1"/>
    <x v="1"/>
    <n v="3"/>
    <n v="110"/>
  </r>
  <r>
    <d v="2024-07-20T00:00:00"/>
    <s v="Unknown"/>
    <x v="6"/>
    <x v="3"/>
    <x v="2"/>
    <x v="149"/>
    <n v="5"/>
    <x v="154"/>
    <x v="0"/>
    <x v="2"/>
    <x v="2"/>
    <n v="3"/>
    <n v="202"/>
  </r>
  <r>
    <d v="2024-07-26T00:00:00"/>
    <s v="Preeti"/>
    <x v="4"/>
    <x v="10"/>
    <x v="20"/>
    <x v="150"/>
    <n v="10"/>
    <x v="155"/>
    <x v="0"/>
    <x v="2"/>
    <x v="2"/>
    <n v="4"/>
    <n v="208"/>
  </r>
  <r>
    <d v="2024-07-07T00:00:00"/>
    <s v="Ritika"/>
    <x v="5"/>
    <x v="7"/>
    <x v="7"/>
    <x v="151"/>
    <n v="5"/>
    <x v="156"/>
    <x v="0"/>
    <x v="2"/>
    <x v="2"/>
    <n v="2"/>
    <n v="189"/>
  </r>
  <r>
    <d v="2024-01-20T00:00:00"/>
    <s v="Rohan"/>
    <x v="5"/>
    <x v="10"/>
    <x v="7"/>
    <x v="152"/>
    <n v="10"/>
    <x v="157"/>
    <x v="0"/>
    <x v="6"/>
    <x v="3"/>
    <n v="3"/>
    <n v="20"/>
  </r>
  <r>
    <d v="2024-12-18T00:00:00"/>
    <s v="Preeti"/>
    <x v="8"/>
    <x v="5"/>
    <x v="17"/>
    <x v="153"/>
    <n v="20"/>
    <x v="158"/>
    <x v="0"/>
    <x v="7"/>
    <x v="0"/>
    <n v="3"/>
    <n v="353"/>
  </r>
  <r>
    <d v="2024-04-01T00:00:00"/>
    <s v="Tanya"/>
    <x v="8"/>
    <x v="7"/>
    <x v="2"/>
    <x v="154"/>
    <n v="20"/>
    <x v="159"/>
    <x v="0"/>
    <x v="1"/>
    <x v="1"/>
    <n v="1"/>
    <n v="92"/>
  </r>
  <r>
    <d v="2024-01-30T00:00:00"/>
    <s v="Nisha"/>
    <x v="1"/>
    <x v="5"/>
    <x v="19"/>
    <x v="155"/>
    <n v="10"/>
    <x v="160"/>
    <x v="0"/>
    <x v="6"/>
    <x v="3"/>
    <n v="5"/>
    <n v="30"/>
  </r>
  <r>
    <d v="2024-09-23T00:00:00"/>
    <s v="Aisha"/>
    <x v="2"/>
    <x v="4"/>
    <x v="2"/>
    <x v="156"/>
    <n v="16"/>
    <x v="161"/>
    <x v="0"/>
    <x v="11"/>
    <x v="2"/>
    <n v="4"/>
    <n v="267"/>
  </r>
  <r>
    <d v="2024-06-24T00:00:00"/>
    <s v="Neha"/>
    <x v="3"/>
    <x v="8"/>
    <x v="25"/>
    <x v="157"/>
    <n v="15"/>
    <x v="162"/>
    <x v="0"/>
    <x v="9"/>
    <x v="1"/>
    <n v="5"/>
    <n v="176"/>
  </r>
  <r>
    <d v="2024-08-03T00:00:00"/>
    <s v="Rhea"/>
    <x v="8"/>
    <x v="11"/>
    <x v="29"/>
    <x v="158"/>
    <n v="20"/>
    <x v="163"/>
    <x v="0"/>
    <x v="8"/>
    <x v="2"/>
    <n v="1"/>
    <n v="216"/>
  </r>
  <r>
    <d v="2024-06-30T00:00:00"/>
    <s v="Kabir"/>
    <x v="0"/>
    <x v="6"/>
    <x v="11"/>
    <x v="159"/>
    <n v="16"/>
    <x v="164"/>
    <x v="0"/>
    <x v="9"/>
    <x v="1"/>
    <n v="6"/>
    <n v="182"/>
  </r>
  <r>
    <d v="2024-01-09T00:00:00"/>
    <s v="Ishita"/>
    <x v="9"/>
    <x v="0"/>
    <x v="2"/>
    <x v="160"/>
    <n v="5"/>
    <x v="165"/>
    <x v="0"/>
    <x v="6"/>
    <x v="3"/>
    <n v="2"/>
    <n v="9"/>
  </r>
  <r>
    <d v="2024-09-23T00:00:00"/>
    <s v="Rohan"/>
    <x v="8"/>
    <x v="11"/>
    <x v="19"/>
    <x v="161"/>
    <n v="16"/>
    <x v="166"/>
    <x v="0"/>
    <x v="11"/>
    <x v="2"/>
    <n v="4"/>
    <n v="267"/>
  </r>
  <r>
    <d v="2024-05-31T00:00:00"/>
    <s v="Siddharth"/>
    <x v="1"/>
    <x v="7"/>
    <x v="29"/>
    <x v="162"/>
    <n v="10"/>
    <x v="167"/>
    <x v="0"/>
    <x v="3"/>
    <x v="1"/>
    <n v="5"/>
    <n v="152"/>
  </r>
  <r>
    <d v="2024-11-23T00:00:00"/>
    <s v="Unknown"/>
    <x v="5"/>
    <x v="5"/>
    <x v="0"/>
    <x v="163"/>
    <n v="0"/>
    <x v="168"/>
    <x v="0"/>
    <x v="0"/>
    <x v="0"/>
    <n v="4"/>
    <n v="328"/>
  </r>
  <r>
    <d v="2024-03-14T00:00:00"/>
    <s v="Saanvi"/>
    <x v="8"/>
    <x v="1"/>
    <x v="17"/>
    <x v="164"/>
    <n v="16"/>
    <x v="169"/>
    <x v="0"/>
    <x v="5"/>
    <x v="3"/>
    <n v="3"/>
    <n v="74"/>
  </r>
  <r>
    <d v="2024-03-17T00:00:00"/>
    <s v="Nisha"/>
    <x v="7"/>
    <x v="8"/>
    <x v="2"/>
    <x v="165"/>
    <n v="20"/>
    <x v="170"/>
    <x v="0"/>
    <x v="5"/>
    <x v="3"/>
    <n v="4"/>
    <n v="77"/>
  </r>
  <r>
    <d v="2024-06-24T00:00:00"/>
    <s v="Mihir"/>
    <x v="6"/>
    <x v="5"/>
    <x v="11"/>
    <x v="166"/>
    <n v="10"/>
    <x v="171"/>
    <x v="0"/>
    <x v="9"/>
    <x v="1"/>
    <n v="5"/>
    <n v="176"/>
  </r>
  <r>
    <d v="2024-07-30T00:00:00"/>
    <s v="Aarav"/>
    <x v="5"/>
    <x v="4"/>
    <x v="22"/>
    <x v="167"/>
    <n v="16"/>
    <x v="172"/>
    <x v="0"/>
    <x v="2"/>
    <x v="2"/>
    <n v="5"/>
    <n v="212"/>
  </r>
  <r>
    <d v="2024-02-04T00:00:00"/>
    <s v="Zara"/>
    <x v="7"/>
    <x v="1"/>
    <x v="7"/>
    <x v="168"/>
    <n v="16"/>
    <x v="173"/>
    <x v="0"/>
    <x v="4"/>
    <x v="3"/>
    <n v="2"/>
    <n v="35"/>
  </r>
  <r>
    <d v="2024-10-10T00:00:00"/>
    <s v="Omkar"/>
    <x v="9"/>
    <x v="10"/>
    <x v="25"/>
    <x v="169"/>
    <n v="16"/>
    <x v="174"/>
    <x v="0"/>
    <x v="10"/>
    <x v="0"/>
    <n v="2"/>
    <n v="284"/>
  </r>
  <r>
    <d v="2024-03-12T00:00:00"/>
    <s v="Rohan"/>
    <x v="4"/>
    <x v="1"/>
    <x v="19"/>
    <x v="170"/>
    <n v="0"/>
    <x v="175"/>
    <x v="0"/>
    <x v="5"/>
    <x v="3"/>
    <n v="3"/>
    <n v="72"/>
  </r>
  <r>
    <d v="2024-05-30T00:00:00"/>
    <s v="Vikram"/>
    <x v="2"/>
    <x v="3"/>
    <x v="26"/>
    <x v="171"/>
    <n v="20"/>
    <x v="176"/>
    <x v="0"/>
    <x v="3"/>
    <x v="1"/>
    <n v="5"/>
    <n v="151"/>
  </r>
  <r>
    <d v="2024-08-11T00:00:00"/>
    <s v="Meera"/>
    <x v="6"/>
    <x v="2"/>
    <x v="5"/>
    <x v="172"/>
    <n v="16"/>
    <x v="177"/>
    <x v="0"/>
    <x v="8"/>
    <x v="2"/>
    <n v="3"/>
    <n v="224"/>
  </r>
  <r>
    <d v="2024-09-26T00:00:00"/>
    <s v="Mihir"/>
    <x v="9"/>
    <x v="2"/>
    <x v="1"/>
    <x v="173"/>
    <n v="15"/>
    <x v="178"/>
    <x v="0"/>
    <x v="11"/>
    <x v="2"/>
    <n v="4"/>
    <n v="270"/>
  </r>
  <r>
    <d v="2024-10-05T00:00:00"/>
    <s v="Meera"/>
    <x v="3"/>
    <x v="0"/>
    <x v="21"/>
    <x v="174"/>
    <n v="20"/>
    <x v="179"/>
    <x v="0"/>
    <x v="10"/>
    <x v="0"/>
    <n v="1"/>
    <n v="2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1C5047-AE85-41F4-B2BF-0DBF793ACF7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3" firstHeaderRow="1" firstDataRow="1" firstDataCol="1"/>
  <pivotFields count="13">
    <pivotField numFmtId="14" showAll="0"/>
    <pivotField showAll="0"/>
    <pivotField showAll="0">
      <items count="11">
        <item x="8"/>
        <item x="6"/>
        <item x="3"/>
        <item x="2"/>
        <item x="5"/>
        <item x="1"/>
        <item x="9"/>
        <item x="4"/>
        <item x="0"/>
        <item x="7"/>
        <item t="default"/>
      </items>
    </pivotField>
    <pivotField showAll="0">
      <items count="13">
        <item x="11"/>
        <item x="8"/>
        <item x="7"/>
        <item x="5"/>
        <item x="3"/>
        <item x="1"/>
        <item x="0"/>
        <item x="2"/>
        <item x="9"/>
        <item x="6"/>
        <item x="10"/>
        <item x="4"/>
        <item t="default"/>
      </items>
    </pivotField>
    <pivotField showAll="0"/>
    <pivotField showAll="0"/>
    <pivotField showAll="0"/>
    <pivotField dataField="1" showAll="0"/>
    <pivotField showAll="0">
      <items count="2">
        <item x="0"/>
        <item t="default"/>
      </items>
    </pivotField>
    <pivotField showAll="0">
      <items count="13">
        <item x="6"/>
        <item x="4"/>
        <item x="5"/>
        <item x="1"/>
        <item x="3"/>
        <item x="9"/>
        <item x="2"/>
        <item x="8"/>
        <item x="11"/>
        <item x="10"/>
        <item x="0"/>
        <item x="7"/>
        <item t="default"/>
      </items>
    </pivotField>
    <pivotField axis="axisRow" showAll="0">
      <items count="5">
        <item x="3"/>
        <item x="1"/>
        <item x="2"/>
        <item x="0"/>
        <item t="default"/>
      </items>
    </pivotField>
    <pivotField showAll="0"/>
    <pivotField showAll="0"/>
  </pivotFields>
  <rowFields count="1">
    <field x="10"/>
  </rowFields>
  <rowItems count="5">
    <i>
      <x/>
    </i>
    <i>
      <x v="1"/>
    </i>
    <i>
      <x v="2"/>
    </i>
    <i>
      <x v="3"/>
    </i>
    <i t="grand">
      <x/>
    </i>
  </rowItems>
  <colItems count="1">
    <i/>
  </colItems>
  <dataFields count="1">
    <dataField name="Sum of TotalSales" fld="7" baseField="0" baseItem="0"/>
  </dataField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0" count="1" selected="0">
            <x v="0"/>
          </reference>
        </references>
      </pivotArea>
    </chartFormat>
    <chartFormat chart="1" format="3">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2">
          <reference field="4294967294" count="1" selected="0">
            <x v="0"/>
          </reference>
          <reference field="10" count="1" selected="0">
            <x v="2"/>
          </reference>
        </references>
      </pivotArea>
    </chartFormat>
    <chartFormat chart="1" format="5">
      <pivotArea type="data" outline="0" fieldPosition="0">
        <references count="2">
          <reference field="4294967294" count="1" selected="0">
            <x v="0"/>
          </reference>
          <reference field="10"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0" count="1" selected="0">
            <x v="0"/>
          </reference>
        </references>
      </pivotArea>
    </chartFormat>
    <chartFormat chart="2" format="8">
      <pivotArea type="data" outline="0" fieldPosition="0">
        <references count="2">
          <reference field="4294967294" count="1" selected="0">
            <x v="0"/>
          </reference>
          <reference field="10" count="1" selected="0">
            <x v="1"/>
          </reference>
        </references>
      </pivotArea>
    </chartFormat>
    <chartFormat chart="2" format="9">
      <pivotArea type="data" outline="0" fieldPosition="0">
        <references count="2">
          <reference field="4294967294" count="1" selected="0">
            <x v="0"/>
          </reference>
          <reference field="10" count="1" selected="0">
            <x v="2"/>
          </reference>
        </references>
      </pivotArea>
    </chartFormat>
    <chartFormat chart="2" format="10">
      <pivotArea type="data" outline="0" fieldPosition="0">
        <references count="2">
          <reference field="4294967294" count="1" selected="0">
            <x v="0"/>
          </reference>
          <reference field="10"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0" count="1" selected="0">
            <x v="0"/>
          </reference>
        </references>
      </pivotArea>
    </chartFormat>
    <chartFormat chart="3" format="8">
      <pivotArea type="data" outline="0" fieldPosition="0">
        <references count="2">
          <reference field="4294967294" count="1" selected="0">
            <x v="0"/>
          </reference>
          <reference field="10" count="1" selected="0">
            <x v="1"/>
          </reference>
        </references>
      </pivotArea>
    </chartFormat>
    <chartFormat chart="3" format="9">
      <pivotArea type="data" outline="0" fieldPosition="0">
        <references count="2">
          <reference field="4294967294" count="1" selected="0">
            <x v="0"/>
          </reference>
          <reference field="10" count="1" selected="0">
            <x v="2"/>
          </reference>
        </references>
      </pivotArea>
    </chartFormat>
    <chartFormat chart="3" format="10">
      <pivotArea type="data" outline="0" fieldPosition="0">
        <references count="2">
          <reference field="4294967294" count="1" selected="0">
            <x v="0"/>
          </reference>
          <reference field="10" count="1" selected="0">
            <x v="3"/>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02B3D5-7C32-4B98-A771-0C1B750504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3">
    <pivotField numFmtId="14" showAll="0"/>
    <pivotField showAll="0"/>
    <pivotField axis="axisRow" showAll="0">
      <items count="11">
        <item x="8"/>
        <item x="6"/>
        <item x="3"/>
        <item x="2"/>
        <item x="5"/>
        <item x="1"/>
        <item x="9"/>
        <item x="4"/>
        <item x="0"/>
        <item x="7"/>
        <item t="default"/>
      </items>
    </pivotField>
    <pivotField showAll="0">
      <items count="13">
        <item x="11"/>
        <item x="8"/>
        <item x="7"/>
        <item x="5"/>
        <item x="3"/>
        <item x="1"/>
        <item x="0"/>
        <item x="2"/>
        <item x="9"/>
        <item x="6"/>
        <item x="10"/>
        <item x="4"/>
        <item t="default"/>
      </items>
    </pivotField>
    <pivotField dataField="1" showAll="0">
      <items count="31">
        <item x="18"/>
        <item x="19"/>
        <item x="9"/>
        <item x="4"/>
        <item x="28"/>
        <item x="13"/>
        <item x="0"/>
        <item x="24"/>
        <item x="25"/>
        <item x="5"/>
        <item x="12"/>
        <item x="15"/>
        <item x="16"/>
        <item x="21"/>
        <item x="6"/>
        <item x="7"/>
        <item x="14"/>
        <item x="27"/>
        <item x="8"/>
        <item x="11"/>
        <item x="26"/>
        <item x="20"/>
        <item x="2"/>
        <item x="3"/>
        <item x="29"/>
        <item x="22"/>
        <item x="10"/>
        <item x="1"/>
        <item x="17"/>
        <item x="23"/>
        <item t="default"/>
      </items>
    </pivotField>
    <pivotField showAll="0">
      <items count="176">
        <item x="158"/>
        <item x="122"/>
        <item x="86"/>
        <item x="5"/>
        <item x="102"/>
        <item x="61"/>
        <item x="43"/>
        <item x="51"/>
        <item x="114"/>
        <item x="151"/>
        <item x="80"/>
        <item x="168"/>
        <item x="49"/>
        <item x="120"/>
        <item x="94"/>
        <item x="70"/>
        <item x="52"/>
        <item x="172"/>
        <item x="137"/>
        <item x="148"/>
        <item x="67"/>
        <item x="100"/>
        <item x="22"/>
        <item x="154"/>
        <item x="161"/>
        <item x="13"/>
        <item x="83"/>
        <item x="99"/>
        <item x="10"/>
        <item x="139"/>
        <item x="11"/>
        <item x="3"/>
        <item x="45"/>
        <item x="2"/>
        <item x="12"/>
        <item x="31"/>
        <item x="131"/>
        <item x="101"/>
        <item x="74"/>
        <item x="42"/>
        <item x="75"/>
        <item x="71"/>
        <item x="104"/>
        <item x="132"/>
        <item x="24"/>
        <item x="38"/>
        <item x="92"/>
        <item x="173"/>
        <item x="109"/>
        <item x="55"/>
        <item x="121"/>
        <item x="26"/>
        <item x="96"/>
        <item x="27"/>
        <item x="159"/>
        <item x="116"/>
        <item x="90"/>
        <item x="57"/>
        <item x="62"/>
        <item x="126"/>
        <item x="156"/>
        <item x="88"/>
        <item x="63"/>
        <item x="115"/>
        <item x="162"/>
        <item x="130"/>
        <item x="164"/>
        <item x="79"/>
        <item x="129"/>
        <item x="170"/>
        <item x="15"/>
        <item x="36"/>
        <item x="29"/>
        <item x="97"/>
        <item x="136"/>
        <item x="157"/>
        <item x="76"/>
        <item x="58"/>
        <item x="167"/>
        <item x="135"/>
        <item x="72"/>
        <item x="19"/>
        <item x="134"/>
        <item x="106"/>
        <item x="108"/>
        <item x="16"/>
        <item x="54"/>
        <item x="6"/>
        <item x="138"/>
        <item x="95"/>
        <item x="81"/>
        <item x="30"/>
        <item x="69"/>
        <item x="165"/>
        <item x="124"/>
        <item x="146"/>
        <item x="82"/>
        <item x="0"/>
        <item x="119"/>
        <item x="140"/>
        <item x="39"/>
        <item x="105"/>
        <item x="9"/>
        <item x="133"/>
        <item x="174"/>
        <item x="1"/>
        <item x="89"/>
        <item x="160"/>
        <item x="98"/>
        <item x="77"/>
        <item x="113"/>
        <item x="117"/>
        <item x="107"/>
        <item x="85"/>
        <item x="93"/>
        <item x="68"/>
        <item x="17"/>
        <item x="8"/>
        <item x="149"/>
        <item x="64"/>
        <item x="14"/>
        <item x="46"/>
        <item x="41"/>
        <item x="78"/>
        <item x="147"/>
        <item x="47"/>
        <item x="87"/>
        <item x="28"/>
        <item x="171"/>
        <item x="44"/>
        <item x="4"/>
        <item x="25"/>
        <item x="103"/>
        <item x="60"/>
        <item x="144"/>
        <item x="56"/>
        <item x="33"/>
        <item x="53"/>
        <item x="40"/>
        <item x="169"/>
        <item x="21"/>
        <item x="127"/>
        <item x="152"/>
        <item x="20"/>
        <item x="145"/>
        <item x="150"/>
        <item x="66"/>
        <item x="18"/>
        <item x="32"/>
        <item x="65"/>
        <item x="123"/>
        <item x="111"/>
        <item x="118"/>
        <item x="73"/>
        <item x="59"/>
        <item x="50"/>
        <item x="35"/>
        <item x="125"/>
        <item x="48"/>
        <item x="141"/>
        <item x="91"/>
        <item x="110"/>
        <item x="37"/>
        <item x="23"/>
        <item x="34"/>
        <item x="143"/>
        <item x="142"/>
        <item x="128"/>
        <item x="155"/>
        <item x="163"/>
        <item x="166"/>
        <item x="7"/>
        <item x="112"/>
        <item x="84"/>
        <item x="153"/>
        <item t="default"/>
      </items>
    </pivotField>
    <pivotField showAll="0"/>
    <pivotField showAll="0">
      <items count="181">
        <item x="163"/>
        <item x="5"/>
        <item x="126"/>
        <item x="104"/>
        <item x="88"/>
        <item x="124"/>
        <item x="166"/>
        <item x="52"/>
        <item x="24"/>
        <item x="63"/>
        <item x="43"/>
        <item x="102"/>
        <item x="10"/>
        <item x="118"/>
        <item x="31"/>
        <item x="49"/>
        <item x="53"/>
        <item x="156"/>
        <item x="177"/>
        <item x="173"/>
        <item x="85"/>
        <item x="175"/>
        <item x="96"/>
        <item x="82"/>
        <item x="136"/>
        <item x="26"/>
        <item x="98"/>
        <item x="22"/>
        <item x="135"/>
        <item x="66"/>
        <item x="103"/>
        <item x="72"/>
        <item x="142"/>
        <item x="101"/>
        <item x="113"/>
        <item x="139"/>
        <item x="45"/>
        <item x="159"/>
        <item x="69"/>
        <item x="153"/>
        <item x="81"/>
        <item x="11"/>
        <item x="109"/>
        <item x="70"/>
        <item x="13"/>
        <item x="106"/>
        <item x="3"/>
        <item x="56"/>
        <item x="12"/>
        <item x="162"/>
        <item x="90"/>
        <item x="134"/>
        <item x="144"/>
        <item x="2"/>
        <item x="119"/>
        <item x="0"/>
        <item x="76"/>
        <item x="94"/>
        <item x="114"/>
        <item x="140"/>
        <item x="97"/>
        <item x="38"/>
        <item x="78"/>
        <item x="9"/>
        <item x="19"/>
        <item x="65"/>
        <item x="51"/>
        <item x="16"/>
        <item x="77"/>
        <item x="92"/>
        <item x="152"/>
        <item x="74"/>
        <item x="4"/>
        <item x="42"/>
        <item x="125"/>
        <item x="25"/>
        <item x="27"/>
        <item x="164"/>
        <item x="17"/>
        <item x="15"/>
        <item x="123"/>
        <item x="75"/>
        <item x="80"/>
        <item x="112"/>
        <item x="138"/>
        <item x="178"/>
        <item x="59"/>
        <item x="73"/>
        <item x="55"/>
        <item x="58"/>
        <item x="60"/>
        <item x="130"/>
        <item x="36"/>
        <item x="133"/>
        <item x="179"/>
        <item x="6"/>
        <item x="64"/>
        <item x="71"/>
        <item x="161"/>
        <item x="167"/>
        <item x="79"/>
        <item x="107"/>
        <item x="120"/>
        <item x="30"/>
        <item x="99"/>
        <item x="127"/>
        <item x="160"/>
        <item x="87"/>
        <item x="110"/>
        <item x="151"/>
        <item x="141"/>
        <item x="137"/>
        <item x="39"/>
        <item x="170"/>
        <item x="29"/>
        <item x="169"/>
        <item x="149"/>
        <item x="121"/>
        <item x="111"/>
        <item x="129"/>
        <item x="131"/>
        <item x="83"/>
        <item x="172"/>
        <item x="145"/>
        <item x="108"/>
        <item x="143"/>
        <item x="128"/>
        <item x="46"/>
        <item x="89"/>
        <item x="95"/>
        <item x="41"/>
        <item x="1"/>
        <item x="174"/>
        <item x="8"/>
        <item x="91"/>
        <item x="84"/>
        <item x="14"/>
        <item x="165"/>
        <item x="20"/>
        <item x="100"/>
        <item x="117"/>
        <item x="154"/>
        <item x="176"/>
        <item x="115"/>
        <item x="33"/>
        <item x="62"/>
        <item x="148"/>
        <item x="105"/>
        <item x="32"/>
        <item x="28"/>
        <item x="44"/>
        <item x="47"/>
        <item x="40"/>
        <item x="168"/>
        <item x="21"/>
        <item x="18"/>
        <item x="54"/>
        <item x="57"/>
        <item x="150"/>
        <item x="155"/>
        <item x="157"/>
        <item x="67"/>
        <item x="48"/>
        <item x="50"/>
        <item x="122"/>
        <item x="61"/>
        <item x="34"/>
        <item x="68"/>
        <item x="86"/>
        <item x="7"/>
        <item x="171"/>
        <item x="37"/>
        <item x="35"/>
        <item x="147"/>
        <item x="146"/>
        <item x="132"/>
        <item x="158"/>
        <item x="116"/>
        <item x="23"/>
        <item x="93"/>
        <item t="default"/>
      </items>
    </pivotField>
    <pivotField showAll="0">
      <items count="2">
        <item x="0"/>
        <item t="default"/>
      </items>
    </pivotField>
    <pivotField showAll="0">
      <items count="13">
        <item x="6"/>
        <item x="4"/>
        <item x="5"/>
        <item x="1"/>
        <item x="3"/>
        <item x="9"/>
        <item x="2"/>
        <item x="8"/>
        <item x="11"/>
        <item x="10"/>
        <item x="0"/>
        <item x="7"/>
        <item t="default"/>
      </items>
    </pivotField>
    <pivotField showAll="0">
      <items count="5">
        <item x="3"/>
        <item x="1"/>
        <item x="2"/>
        <item x="0"/>
        <item t="default"/>
      </items>
    </pivotField>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Quantity" fld="4" baseField="0" baseItem="0"/>
  </dataField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B95685-1AC8-4E08-BAF3-66F360D31F3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9:B80" firstHeaderRow="1" firstDataRow="1" firstDataCol="1"/>
  <pivotFields count="13">
    <pivotField numFmtId="14" showAll="0"/>
    <pivotField showAll="0"/>
    <pivotField axis="axisRow" showAll="0">
      <items count="11">
        <item x="8"/>
        <item x="6"/>
        <item x="3"/>
        <item x="2"/>
        <item x="5"/>
        <item x="1"/>
        <item x="9"/>
        <item x="4"/>
        <item x="0"/>
        <item x="7"/>
        <item t="default"/>
      </items>
    </pivotField>
    <pivotField showAll="0">
      <items count="13">
        <item x="11"/>
        <item x="8"/>
        <item x="7"/>
        <item x="5"/>
        <item x="3"/>
        <item x="1"/>
        <item x="0"/>
        <item x="2"/>
        <item x="9"/>
        <item x="6"/>
        <item x="10"/>
        <item x="4"/>
        <item t="default"/>
      </items>
    </pivotField>
    <pivotField showAll="0"/>
    <pivotField showAll="0"/>
    <pivotField showAll="0"/>
    <pivotField dataField="1" showAll="0"/>
    <pivotField showAll="0"/>
    <pivotField showAll="0">
      <items count="13">
        <item x="6"/>
        <item x="4"/>
        <item x="5"/>
        <item x="1"/>
        <item x="3"/>
        <item x="9"/>
        <item x="2"/>
        <item x="8"/>
        <item x="11"/>
        <item x="10"/>
        <item x="0"/>
        <item x="7"/>
        <item t="default"/>
      </items>
    </pivotField>
    <pivotField showAll="0">
      <items count="5">
        <item x="3"/>
        <item x="1"/>
        <item x="2"/>
        <item x="0"/>
        <item t="default"/>
      </items>
    </pivotField>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Sales" fld="7"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399DF2-E642-4A8F-A883-9BF24C8EA40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6:B51" firstHeaderRow="1" firstDataRow="1" firstDataCol="1"/>
  <pivotFields count="13">
    <pivotField numFmtId="14" showAll="0"/>
    <pivotField showAll="0"/>
    <pivotField showAll="0">
      <items count="11">
        <item x="8"/>
        <item x="6"/>
        <item x="3"/>
        <item x="2"/>
        <item x="5"/>
        <item x="1"/>
        <item x="9"/>
        <item x="4"/>
        <item x="0"/>
        <item x="7"/>
        <item t="default"/>
      </items>
    </pivotField>
    <pivotField showAll="0">
      <items count="13">
        <item x="11"/>
        <item x="8"/>
        <item x="7"/>
        <item x="5"/>
        <item x="3"/>
        <item x="1"/>
        <item x="0"/>
        <item x="2"/>
        <item x="9"/>
        <item x="6"/>
        <item x="10"/>
        <item x="4"/>
        <item t="default"/>
      </items>
    </pivotField>
    <pivotField dataField="1" showAll="0"/>
    <pivotField showAll="0"/>
    <pivotField showAll="0"/>
    <pivotField showAll="0"/>
    <pivotField showAll="0">
      <items count="2">
        <item x="0"/>
        <item t="default"/>
      </items>
    </pivotField>
    <pivotField showAll="0">
      <items count="13">
        <item x="6"/>
        <item x="4"/>
        <item x="5"/>
        <item x="1"/>
        <item x="3"/>
        <item x="9"/>
        <item x="2"/>
        <item x="8"/>
        <item x="11"/>
        <item x="10"/>
        <item x="0"/>
        <item x="7"/>
        <item t="default"/>
      </items>
    </pivotField>
    <pivotField axis="axisRow" showAll="0">
      <items count="5">
        <item x="3"/>
        <item x="1"/>
        <item x="2"/>
        <item x="0"/>
        <item t="default"/>
      </items>
    </pivotField>
    <pivotField showAll="0"/>
    <pivotField showAll="0"/>
  </pivotFields>
  <rowFields count="1">
    <field x="10"/>
  </rowFields>
  <rowItems count="5">
    <i>
      <x/>
    </i>
    <i>
      <x v="1"/>
    </i>
    <i>
      <x v="2"/>
    </i>
    <i>
      <x v="3"/>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A4B6C91-84D1-41BA-A47F-2B5593EC7FF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3" firstHeaderRow="1" firstDataRow="1" firstDataCol="1"/>
  <pivotFields count="13">
    <pivotField numFmtId="14" showAll="0"/>
    <pivotField showAll="0"/>
    <pivotField showAll="0">
      <items count="11">
        <item x="8"/>
        <item x="6"/>
        <item x="3"/>
        <item x="2"/>
        <item x="5"/>
        <item x="1"/>
        <item x="9"/>
        <item x="4"/>
        <item x="0"/>
        <item x="7"/>
        <item t="default"/>
      </items>
    </pivotField>
    <pivotField axis="axisRow" showAll="0">
      <items count="13">
        <item x="11"/>
        <item x="8"/>
        <item x="7"/>
        <item x="5"/>
        <item x="3"/>
        <item x="1"/>
        <item x="0"/>
        <item x="2"/>
        <item x="9"/>
        <item x="6"/>
        <item x="10"/>
        <item x="4"/>
        <item t="default"/>
      </items>
    </pivotField>
    <pivotField showAll="0"/>
    <pivotField dataField="1" showAll="0"/>
    <pivotField showAll="0"/>
    <pivotField showAll="0"/>
    <pivotField showAll="0">
      <items count="2">
        <item x="0"/>
        <item t="default"/>
      </items>
    </pivotField>
    <pivotField showAll="0">
      <items count="13">
        <item x="6"/>
        <item x="4"/>
        <item x="5"/>
        <item x="1"/>
        <item x="3"/>
        <item x="9"/>
        <item x="2"/>
        <item x="8"/>
        <item x="11"/>
        <item x="10"/>
        <item x="0"/>
        <item x="7"/>
        <item t="default"/>
      </items>
    </pivotField>
    <pivotField showAll="0">
      <items count="5">
        <item x="3"/>
        <item x="1"/>
        <item x="2"/>
        <item x="0"/>
        <item t="default"/>
      </items>
    </pivotField>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UnitPric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3" xr16:uid="{6378B0EC-0629-4A23-AE3A-B3832763DD9A}" autoFormatId="16" applyNumberFormats="0" applyBorderFormats="0" applyFontFormats="0" applyPatternFormats="0" applyAlignmentFormats="0" applyWidthHeightFormats="0">
  <queryTableRefresh nextId="14">
    <queryTableFields count="13">
      <queryTableField id="1" name="Date" tableColumnId="1"/>
      <queryTableField id="2" name="Employee" tableColumnId="2"/>
      <queryTableField id="3" name="Region" tableColumnId="3"/>
      <queryTableField id="4" name="Product" tableColumnId="4"/>
      <queryTableField id="5" name="Quantity" tableColumnId="5"/>
      <queryTableField id="6" name="UnitPrice" tableColumnId="6"/>
      <queryTableField id="7" name="Discount%" tableColumnId="7"/>
      <queryTableField id="8" name="TotalSales" tableColumnId="8"/>
      <queryTableField id="9" name="Year" tableColumnId="9"/>
      <queryTableField id="10" name="Month" tableColumnId="10"/>
      <queryTableField id="11" name="Quarter" tableColumnId="11"/>
      <queryTableField id="12" name="Week of Month" tableColumnId="12"/>
      <queryTableField id="13" name="Day of Yea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4905A8-5DFD-41E0-B26C-B1862E36033E}" sourceName="Region">
  <pivotTables>
    <pivotTable tabId="8" name="PivotTable1"/>
    <pivotTable tabId="8" name="PivotTable2"/>
    <pivotTable tabId="8" name="PivotTable3"/>
    <pivotTable tabId="8" name="PivotTable4"/>
    <pivotTable tabId="8" name="PivotTable6"/>
  </pivotTables>
  <data>
    <tabular pivotCacheId="1929544141">
      <items count="10">
        <i x="8" s="1"/>
        <i x="6" s="1"/>
        <i x="3" s="1"/>
        <i x="2" s="1"/>
        <i x="5" s="1"/>
        <i x="1" s="1"/>
        <i x="9" s="1"/>
        <i x="4" s="1"/>
        <i x="0"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4668B20-4EE1-47C0-86E9-76C35DF22392}" sourceName="Product">
  <pivotTables>
    <pivotTable tabId="8" name="PivotTable1"/>
    <pivotTable tabId="8" name="PivotTable2"/>
    <pivotTable tabId="8" name="PivotTable3"/>
    <pivotTable tabId="8" name="PivotTable4"/>
    <pivotTable tabId="8" name="PivotTable6"/>
  </pivotTables>
  <data>
    <tabular pivotCacheId="1929544141">
      <items count="12">
        <i x="11" s="1"/>
        <i x="8" s="1"/>
        <i x="7" s="1"/>
        <i x="5" s="1"/>
        <i x="3" s="1"/>
        <i x="1" s="1"/>
        <i x="0" s="1"/>
        <i x="2" s="1"/>
        <i x="9" s="1"/>
        <i x="6" s="1"/>
        <i x="1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AD655A-3274-40EB-9D72-055C8BC5C0D5}" sourceName="Month">
  <pivotTables>
    <pivotTable tabId="8" name="PivotTable1"/>
    <pivotTable tabId="8" name="PivotTable2"/>
    <pivotTable tabId="8" name="PivotTable3"/>
    <pivotTable tabId="8" name="PivotTable4"/>
    <pivotTable tabId="8" name="PivotTable6"/>
  </pivotTables>
  <data>
    <tabular pivotCacheId="1929544141">
      <items count="12">
        <i x="6" s="1"/>
        <i x="4" s="1"/>
        <i x="5" s="1"/>
        <i x="1" s="1"/>
        <i x="3" s="1"/>
        <i x="9" s="1"/>
        <i x="2" s="1"/>
        <i x="8" s="1"/>
        <i x="11" s="1"/>
        <i x="10"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2E637AB-EE9B-4286-927E-CDA3534AD2A7}" sourceName="Quarter">
  <pivotTables>
    <pivotTable tabId="8" name="PivotTable1"/>
    <pivotTable tabId="8" name="PivotTable2"/>
    <pivotTable tabId="8" name="PivotTable3"/>
    <pivotTable tabId="8" name="PivotTable4"/>
    <pivotTable tabId="8" name="PivotTable6"/>
  </pivotTables>
  <data>
    <tabular pivotCacheId="192954414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6528AF-5B6D-4B82-981B-FC59CFD524CB}" cache="Slicer_Region" caption="Region" style="SlicerStyleLight5" rowHeight="241300"/>
  <slicer name="Product" xr10:uid="{259851ED-700A-4A5D-94F1-BAEEC5FA5533}" cache="Slicer_Product" caption="Product" startItem="7" style="SlicerStyleLight5" rowHeight="241300"/>
  <slicer name="Month" xr10:uid="{7692E2A6-0036-4828-9D2A-FFFF56DE5D2B}" cache="Slicer_Month" caption="Month" startItem="3" style="SlicerStyleLight5" rowHeight="241300"/>
  <slicer name="Quarter" xr10:uid="{8005082E-BFE3-45BB-8604-478566A4B8E8}" cache="Slicer_Quarter" caption="Quarter" style="SlicerStyleLight5" rowHeight="24130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7FC0DBB-5EEB-4E2A-8B98-ED6BD87A2F64}" name="Table6" displayName="Table6" ref="A1:H181" totalsRowShown="0">
  <autoFilter ref="A1:H181" xr:uid="{57FC0DBB-5EEB-4E2A-8B98-ED6BD87A2F64}"/>
  <tableColumns count="8">
    <tableColumn id="1" xr3:uid="{E068B34F-21FA-45B0-9B48-422E10E8BACB}" name="Date" dataDxfId="9"/>
    <tableColumn id="2" xr3:uid="{3B3AD7B7-2EA6-485B-8725-28D0D38FAF24}" name="Employee"/>
    <tableColumn id="3" xr3:uid="{8BDC8A2A-903B-406C-927A-F2B8A55194E7}" name="Region"/>
    <tableColumn id="4" xr3:uid="{F985D5FB-C734-49B5-84FF-E2DDFECA7336}" name="Product"/>
    <tableColumn id="5" xr3:uid="{758F7DC8-0FEA-42DF-BD2C-3BB93D87E120}" name="Quantity"/>
    <tableColumn id="6" xr3:uid="{AC5EFD3C-74BC-4E26-88E6-2E1FA0E691CD}" name="UnitPrice"/>
    <tableColumn id="7" xr3:uid="{D07D7E53-03FD-460C-B2C7-DD5320998DE2}" name="Discount%"/>
    <tableColumn id="8" xr3:uid="{111882D0-CDD0-48E5-BE79-7540F5C61036}" name="TotalSal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C1300-90D3-4E35-9213-32916242D53E}" name="Table1" displayName="Table1" ref="A1:H181" totalsRowShown="0" headerRowDxfId="8">
  <autoFilter ref="A1:H181" xr:uid="{D8DC1300-90D3-4E35-9213-32916242D53E}"/>
  <tableColumns count="8">
    <tableColumn id="1" xr3:uid="{E93D4989-304C-4A3F-B091-7AF1861ADEA0}" name="Date" dataDxfId="7"/>
    <tableColumn id="2" xr3:uid="{0025D3B6-C5C2-4AF7-800D-7E36C8F201B2}" name="Employee"/>
    <tableColumn id="3" xr3:uid="{15465F92-6EEF-4954-BD76-69907BC11C98}" name="Region"/>
    <tableColumn id="4" xr3:uid="{F23939A5-346C-4857-96A4-EDF9263F0AFC}" name="Product"/>
    <tableColumn id="5" xr3:uid="{70BE99F6-7B62-4E57-B998-16C7A4A27FA1}" name="Quantity"/>
    <tableColumn id="6" xr3:uid="{16FE5464-7D30-4A5F-B3B8-DD9DFF75C5AD}" name="UnitPrice"/>
    <tableColumn id="7" xr3:uid="{AEE40EDF-7D36-4415-9502-F4418F1D6BBA}" name="Discount%"/>
    <tableColumn id="8" xr3:uid="{3F969506-AD6F-4EEF-B9BB-C126B2DEF1A4}" name="TotalSa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A972ADD-0259-4319-BB6F-0F1634DF6336}" name="Table9" displayName="Table9" ref="A3:M16" totalsRowShown="0">
  <autoFilter ref="A3:M16" xr:uid="{6A972ADD-0259-4319-BB6F-0F1634DF6336}"/>
  <tableColumns count="13">
    <tableColumn id="1" xr3:uid="{611FD370-D891-4CD7-806F-67B2AA503FD5}" name="Date" dataDxfId="6"/>
    <tableColumn id="2" xr3:uid="{F1CB3BF4-1E8A-4177-91F1-0B9BA4DCA5DA}" name="Employee"/>
    <tableColumn id="3" xr3:uid="{B5E11B93-3097-4CFA-A9BC-14C342F2A504}" name="Region"/>
    <tableColumn id="4" xr3:uid="{6FED3C60-8018-49D8-BF03-495AACD1EC45}" name="Product"/>
    <tableColumn id="5" xr3:uid="{B6DECDB3-CD30-453B-8427-C9B402A8C312}" name="Quantity"/>
    <tableColumn id="6" xr3:uid="{BE87D0A4-4ED4-4C43-8700-EB2F20ED0040}" name="UnitPrice"/>
    <tableColumn id="7" xr3:uid="{B5C8E1C1-F9B1-4D4E-9B3E-2E35D4E28734}" name="Discount%"/>
    <tableColumn id="8" xr3:uid="{C8A1632F-62EF-4761-B55A-0DD7D7B50A56}" name="TotalSales"/>
    <tableColumn id="9" xr3:uid="{B49DA720-376B-47D9-900D-E679A56F20F8}" name="Year"/>
    <tableColumn id="10" xr3:uid="{CFA080FA-EE7A-4B03-8FCA-638A350ED9E9}" name="Month"/>
    <tableColumn id="11" xr3:uid="{E5CBC8F6-6D41-4577-9DDC-731916003F99}" name="Quarter"/>
    <tableColumn id="12" xr3:uid="{39A41231-4E35-47A2-8A7C-75474E3A9F2D}" name="Week of Month"/>
    <tableColumn id="13" xr3:uid="{9E6A7497-F604-4E9F-9E30-2FFB501D5D89}" name="Day of Year"/>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9E645E-C096-4448-8670-AE17691536CC}" name="Table2" displayName="Table2" ref="A3:M183" totalsRowShown="0">
  <autoFilter ref="A3:M183" xr:uid="{009E645E-C096-4448-8670-AE17691536CC}"/>
  <tableColumns count="13">
    <tableColumn id="1" xr3:uid="{BDE9064E-2032-41BE-8BF6-6CB421A8794B}" name="Date" dataDxfId="5"/>
    <tableColumn id="2" xr3:uid="{A8BA6B4A-2B70-4B79-9F60-4916EF661AA0}" name="Employee"/>
    <tableColumn id="3" xr3:uid="{B591B80B-C63F-479A-B88E-5641FBFFDCCF}" name="Region"/>
    <tableColumn id="4" xr3:uid="{30233E7D-60EA-48C9-89BE-8D834BBA2D95}" name="Product"/>
    <tableColumn id="5" xr3:uid="{B1C293B3-5D31-49DA-AB8E-6C7CE3C32ACE}" name="Quantity"/>
    <tableColumn id="6" xr3:uid="{47DCAEA0-BFAE-4A1C-BBDD-F90C0AD7236D}" name="UnitPrice"/>
    <tableColumn id="7" xr3:uid="{AD5695DE-B264-4D02-B70E-5C1997E9CFDB}" name="Discount%"/>
    <tableColumn id="8" xr3:uid="{283907D1-0C55-46DE-B64E-88F75FC8B35F}" name="TotalSales"/>
    <tableColumn id="9" xr3:uid="{38F160D6-9FD9-40BB-8613-5A1E7871B2C6}" name="Year"/>
    <tableColumn id="10" xr3:uid="{6A0EAC7F-7F41-491C-8275-386672FBCA24}" name="Month"/>
    <tableColumn id="11" xr3:uid="{30D30B55-1FA7-4D8E-87EE-19670A2AC34A}" name="Quarter"/>
    <tableColumn id="12" xr3:uid="{20BAEEF7-B5A1-4E4F-827B-7FE327E20AD0}" name="Week of Month"/>
    <tableColumn id="13" xr3:uid="{643AAEA0-C6C7-4BDC-9294-A1B5743B109C}" name="Day of Yea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41E817D-17E2-4A2A-9B47-1FE840267A84}" name="Table6_2" displayName="Table6_2" ref="A1:M181" tableType="queryTable" totalsRowShown="0">
  <autoFilter ref="A1:M181" xr:uid="{641E817D-17E2-4A2A-9B47-1FE840267A84}"/>
  <tableColumns count="13">
    <tableColumn id="1" xr3:uid="{FACF9749-5B7A-41F7-BF3E-3B0CC1E738E1}" uniqueName="1" name="Date" queryTableFieldId="1" dataDxfId="4"/>
    <tableColumn id="2" xr3:uid="{C8FD0536-6C77-4419-9D7C-0003A208A1D5}" uniqueName="2" name="Employee" queryTableFieldId="2" dataDxfId="3"/>
    <tableColumn id="3" xr3:uid="{B8174AAA-2B87-4BFE-B033-529F0E3873FB}" uniqueName="3" name="Region" queryTableFieldId="3" dataDxfId="2"/>
    <tableColumn id="4" xr3:uid="{024594F3-75B4-441B-8759-68F2B229FDCA}" uniqueName="4" name="Product" queryTableFieldId="4" dataDxfId="1"/>
    <tableColumn id="5" xr3:uid="{3A901A6A-AE5E-418A-A2DF-0882B42432C6}" uniqueName="5" name="Quantity" queryTableFieldId="5"/>
    <tableColumn id="6" xr3:uid="{6D7B1C2D-1075-482F-82BF-404910116ABA}" uniqueName="6" name="UnitPrice" queryTableFieldId="6"/>
    <tableColumn id="7" xr3:uid="{EA48D58D-9519-4054-BC61-CE88F97FC0EF}" uniqueName="7" name="Discount%" queryTableFieldId="7"/>
    <tableColumn id="8" xr3:uid="{4FF81AD0-1E4A-4B80-8E08-6865984C40BE}" uniqueName="8" name="TotalSales" queryTableFieldId="8"/>
    <tableColumn id="9" xr3:uid="{64047146-C791-428D-9A4D-3E7E0BB32B2C}" uniqueName="9" name="Year" queryTableFieldId="9"/>
    <tableColumn id="10" xr3:uid="{8ECE6B04-79BA-47DB-83D1-3E6D9D263C08}" uniqueName="10" name="Month" queryTableFieldId="10"/>
    <tableColumn id="11" xr3:uid="{EEC582D3-324F-4674-B3D6-D36F429DCC28}" uniqueName="11" name="Quarter" queryTableFieldId="11"/>
    <tableColumn id="12" xr3:uid="{253611B5-C277-4DE7-AE46-6458A7CC7C1A}" uniqueName="12" name="Week of Month" queryTableFieldId="12"/>
    <tableColumn id="13" xr3:uid="{500256E0-E9BA-4B22-B887-38E2ADBF2EF1}" uniqueName="13" name="Day of Year" queryTableFieldId="1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DD3300C-85FA-48F7-A6C0-A0B9F9654E1D}" name="Table10" displayName="Table10" ref="A3:M48" totalsRowShown="0">
  <autoFilter ref="A3:M48" xr:uid="{7DD3300C-85FA-48F7-A6C0-A0B9F9654E1D}"/>
  <tableColumns count="13">
    <tableColumn id="1" xr3:uid="{220F31F2-4D63-43C4-8886-D8ADA533C95E}" name="Date" dataDxfId="0"/>
    <tableColumn id="2" xr3:uid="{A15FED91-8712-4851-B4BE-C41AF8303C36}" name="Employee"/>
    <tableColumn id="3" xr3:uid="{D1D22A4D-596E-4B97-B72A-5B8A3759A30E}" name="Region"/>
    <tableColumn id="4" xr3:uid="{45DBE47E-9A52-478B-AA75-3320844811AB}" name="Product"/>
    <tableColumn id="5" xr3:uid="{8BC70BF1-C7C4-47DA-8A79-735D97A0F8D8}" name="Quantity"/>
    <tableColumn id="6" xr3:uid="{6BF50FDE-9D94-4A13-A324-8A19512C56F0}" name="UnitPrice"/>
    <tableColumn id="7" xr3:uid="{9D2A045C-A645-40BF-B301-DEB906093E48}" name="Discount%"/>
    <tableColumn id="8" xr3:uid="{EE0D62E4-7602-4317-8D1A-40AFC701295C}" name="TotalSales"/>
    <tableColumn id="9" xr3:uid="{C4E1D76D-751F-475C-A33B-26DA45B4A547}" name="Year"/>
    <tableColumn id="10" xr3:uid="{779124DB-BC36-45D6-8869-4D533D5F153C}" name="Month"/>
    <tableColumn id="11" xr3:uid="{02FC80B2-20B8-45F7-8C2D-8D2D90FBF49C}" name="Quarter"/>
    <tableColumn id="12" xr3:uid="{127B50A5-707E-403F-A62A-3E4C38BC468D}" name="Week of Month"/>
    <tableColumn id="13" xr3:uid="{F9FC4C73-0E83-45B8-8503-B214B3967B50}" name="Day of Yea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E62A2-4810-4775-B207-3CCB415B582C}">
  <dimension ref="A1:H181"/>
  <sheetViews>
    <sheetView workbookViewId="0">
      <selection sqref="A1:H181"/>
    </sheetView>
  </sheetViews>
  <sheetFormatPr defaultRowHeight="14.5" x14ac:dyDescent="0.35"/>
  <cols>
    <col min="1" max="1" width="10.08984375" bestFit="1" customWidth="1"/>
    <col min="2" max="2" width="11" customWidth="1"/>
    <col min="3" max="3" width="9.54296875" bestFit="1" customWidth="1"/>
    <col min="4" max="4" width="11.36328125" bestFit="1" customWidth="1"/>
    <col min="5" max="5" width="10.1796875" customWidth="1"/>
    <col min="6" max="6" width="10.453125" customWidth="1"/>
    <col min="7" max="7" width="11.6328125" customWidth="1"/>
    <col min="8" max="8" width="11.26953125" customWidth="1"/>
  </cols>
  <sheetData>
    <row r="1" spans="1:8" x14ac:dyDescent="0.35">
      <c r="A1" t="s">
        <v>0</v>
      </c>
      <c r="B1" t="s">
        <v>1</v>
      </c>
      <c r="C1" t="s">
        <v>2</v>
      </c>
      <c r="D1" t="s">
        <v>3</v>
      </c>
      <c r="E1" t="s">
        <v>4</v>
      </c>
      <c r="F1" t="s">
        <v>5</v>
      </c>
      <c r="G1" t="s">
        <v>6</v>
      </c>
      <c r="H1" t="s">
        <v>7</v>
      </c>
    </row>
    <row r="2" spans="1:8" x14ac:dyDescent="0.35">
      <c r="A2" s="1">
        <v>45607</v>
      </c>
      <c r="B2" t="s">
        <v>8</v>
      </c>
      <c r="D2" t="s">
        <v>9</v>
      </c>
      <c r="E2">
        <v>7</v>
      </c>
      <c r="F2">
        <v>6060</v>
      </c>
      <c r="G2">
        <v>10</v>
      </c>
      <c r="H2">
        <v>38178</v>
      </c>
    </row>
    <row r="3" spans="1:8" x14ac:dyDescent="0.35">
      <c r="A3" s="1">
        <v>45403</v>
      </c>
      <c r="B3" t="s">
        <v>10</v>
      </c>
      <c r="C3" t="s">
        <v>11</v>
      </c>
      <c r="D3" t="s">
        <v>9</v>
      </c>
      <c r="E3">
        <v>28</v>
      </c>
      <c r="F3">
        <v>6928</v>
      </c>
      <c r="G3">
        <v>20</v>
      </c>
      <c r="H3">
        <v>155187.20000000001</v>
      </c>
    </row>
    <row r="4" spans="1:8" x14ac:dyDescent="0.35">
      <c r="A4" s="1">
        <v>45407</v>
      </c>
      <c r="B4" t="s">
        <v>12</v>
      </c>
      <c r="C4" t="s">
        <v>13</v>
      </c>
      <c r="D4" t="s">
        <v>14</v>
      </c>
      <c r="E4">
        <v>23</v>
      </c>
      <c r="F4">
        <v>1599</v>
      </c>
      <c r="H4">
        <v>36777</v>
      </c>
    </row>
    <row r="5" spans="1:8" x14ac:dyDescent="0.35">
      <c r="A5" s="1">
        <v>45598</v>
      </c>
      <c r="B5" t="s">
        <v>15</v>
      </c>
      <c r="C5" t="s">
        <v>16</v>
      </c>
      <c r="D5" t="s">
        <v>17</v>
      </c>
      <c r="E5">
        <v>24</v>
      </c>
      <c r="F5">
        <v>1477</v>
      </c>
      <c r="G5">
        <v>20</v>
      </c>
      <c r="H5">
        <v>28358.400000000001</v>
      </c>
    </row>
    <row r="6" spans="1:8" x14ac:dyDescent="0.35">
      <c r="A6" s="1">
        <v>45501</v>
      </c>
      <c r="B6" t="s">
        <v>18</v>
      </c>
      <c r="D6" t="s">
        <v>19</v>
      </c>
      <c r="E6">
        <v>4</v>
      </c>
      <c r="F6">
        <v>14176</v>
      </c>
      <c r="G6">
        <v>0</v>
      </c>
      <c r="H6">
        <v>56704</v>
      </c>
    </row>
    <row r="7" spans="1:8" x14ac:dyDescent="0.35">
      <c r="A7" s="1">
        <v>45611</v>
      </c>
      <c r="C7" t="s">
        <v>20</v>
      </c>
      <c r="D7" t="s">
        <v>21</v>
      </c>
      <c r="E7">
        <v>10</v>
      </c>
      <c r="F7">
        <v>-49</v>
      </c>
      <c r="G7">
        <v>15</v>
      </c>
      <c r="H7">
        <v>-416.5</v>
      </c>
    </row>
    <row r="8" spans="1:8" x14ac:dyDescent="0.35">
      <c r="A8" s="1">
        <v>45419</v>
      </c>
      <c r="B8" t="s">
        <v>10</v>
      </c>
      <c r="C8" t="s">
        <v>16</v>
      </c>
      <c r="D8" t="s">
        <v>21</v>
      </c>
      <c r="E8">
        <v>15</v>
      </c>
      <c r="H8">
        <v>75390</v>
      </c>
    </row>
    <row r="9" spans="1:8" x14ac:dyDescent="0.35">
      <c r="A9" s="1">
        <v>45330</v>
      </c>
      <c r="B9" t="s">
        <v>22</v>
      </c>
      <c r="C9" t="s">
        <v>13</v>
      </c>
      <c r="D9" t="s">
        <v>23</v>
      </c>
      <c r="E9">
        <v>16</v>
      </c>
      <c r="F9">
        <v>52159</v>
      </c>
      <c r="G9">
        <v>0</v>
      </c>
      <c r="H9">
        <v>834544</v>
      </c>
    </row>
    <row r="10" spans="1:8" x14ac:dyDescent="0.35">
      <c r="A10" s="1">
        <v>45382</v>
      </c>
      <c r="B10" t="s">
        <v>24</v>
      </c>
      <c r="C10" t="s">
        <v>25</v>
      </c>
      <c r="D10" t="s">
        <v>9</v>
      </c>
      <c r="E10">
        <v>19</v>
      </c>
      <c r="F10">
        <v>10321</v>
      </c>
      <c r="G10">
        <v>10</v>
      </c>
      <c r="H10">
        <v>176489.1</v>
      </c>
    </row>
    <row r="11" spans="1:8" x14ac:dyDescent="0.35">
      <c r="A11" s="1">
        <v>45302</v>
      </c>
      <c r="B11" t="s">
        <v>26</v>
      </c>
      <c r="C11" t="s">
        <v>25</v>
      </c>
      <c r="D11" t="s">
        <v>17</v>
      </c>
      <c r="E11">
        <v>7</v>
      </c>
      <c r="F11">
        <v>6405</v>
      </c>
      <c r="H11">
        <v>44835</v>
      </c>
    </row>
    <row r="12" spans="1:8" x14ac:dyDescent="0.35">
      <c r="A12" s="1">
        <v>45607</v>
      </c>
      <c r="B12" t="s">
        <v>27</v>
      </c>
      <c r="C12" t="s">
        <v>13</v>
      </c>
      <c r="D12" t="s">
        <v>28</v>
      </c>
      <c r="E12">
        <v>3</v>
      </c>
      <c r="F12">
        <v>1185</v>
      </c>
      <c r="G12">
        <v>15</v>
      </c>
      <c r="H12">
        <v>3021.75</v>
      </c>
    </row>
    <row r="13" spans="1:8" x14ac:dyDescent="0.35">
      <c r="A13" s="1">
        <v>45645</v>
      </c>
      <c r="B13" t="s">
        <v>29</v>
      </c>
      <c r="C13" t="s">
        <v>20</v>
      </c>
      <c r="D13" t="s">
        <v>30</v>
      </c>
      <c r="E13">
        <v>15</v>
      </c>
      <c r="F13">
        <v>1387</v>
      </c>
      <c r="G13">
        <v>15</v>
      </c>
      <c r="H13">
        <v>17684.25</v>
      </c>
    </row>
    <row r="14" spans="1:8" x14ac:dyDescent="0.35">
      <c r="A14" s="1">
        <v>45530</v>
      </c>
      <c r="B14" t="s">
        <v>31</v>
      </c>
      <c r="C14" t="s">
        <v>16</v>
      </c>
      <c r="D14" t="s">
        <v>28</v>
      </c>
      <c r="E14">
        <v>24</v>
      </c>
      <c r="F14">
        <v>1672</v>
      </c>
      <c r="G14">
        <v>20</v>
      </c>
      <c r="H14">
        <v>32102.400000000001</v>
      </c>
    </row>
    <row r="15" spans="1:8" x14ac:dyDescent="0.35">
      <c r="A15" s="1">
        <v>45629</v>
      </c>
      <c r="B15" t="s">
        <v>24</v>
      </c>
      <c r="C15" t="s">
        <v>16</v>
      </c>
      <c r="D15" t="s">
        <v>32</v>
      </c>
      <c r="E15">
        <v>27</v>
      </c>
      <c r="F15">
        <v>1079</v>
      </c>
      <c r="G15">
        <v>10</v>
      </c>
      <c r="H15">
        <v>26219.7</v>
      </c>
    </row>
    <row r="16" spans="1:8" x14ac:dyDescent="0.35">
      <c r="A16" s="1">
        <v>45634</v>
      </c>
      <c r="B16" t="s">
        <v>33</v>
      </c>
      <c r="D16" t="s">
        <v>9</v>
      </c>
      <c r="E16">
        <v>20</v>
      </c>
      <c r="F16">
        <v>10859</v>
      </c>
      <c r="G16">
        <v>15</v>
      </c>
      <c r="H16">
        <v>184603</v>
      </c>
    </row>
    <row r="17" spans="1:8" x14ac:dyDescent="0.35">
      <c r="A17" s="1">
        <v>45602</v>
      </c>
      <c r="B17" t="s">
        <v>15</v>
      </c>
      <c r="C17" t="s">
        <v>34</v>
      </c>
      <c r="D17" t="s">
        <v>32</v>
      </c>
      <c r="E17">
        <v>16</v>
      </c>
      <c r="F17">
        <v>3785</v>
      </c>
      <c r="G17">
        <v>0</v>
      </c>
      <c r="H17">
        <v>60560</v>
      </c>
    </row>
    <row r="18" spans="1:8" x14ac:dyDescent="0.35">
      <c r="A18" s="1">
        <v>45394</v>
      </c>
      <c r="B18" t="s">
        <v>35</v>
      </c>
      <c r="C18" t="s">
        <v>36</v>
      </c>
      <c r="D18" t="s">
        <v>28</v>
      </c>
      <c r="E18">
        <v>11</v>
      </c>
      <c r="F18">
        <v>5025</v>
      </c>
      <c r="G18">
        <v>5</v>
      </c>
      <c r="H18">
        <v>52511.25</v>
      </c>
    </row>
    <row r="19" spans="1:8" x14ac:dyDescent="0.35">
      <c r="A19" s="1">
        <v>45494</v>
      </c>
      <c r="B19" t="s">
        <v>37</v>
      </c>
      <c r="C19" t="s">
        <v>34</v>
      </c>
      <c r="D19" t="s">
        <v>9</v>
      </c>
      <c r="E19">
        <v>6</v>
      </c>
      <c r="F19">
        <v>10042</v>
      </c>
      <c r="G19">
        <v>0</v>
      </c>
      <c r="H19">
        <v>60252</v>
      </c>
    </row>
    <row r="20" spans="1:8" x14ac:dyDescent="0.35">
      <c r="A20" s="1">
        <v>45445</v>
      </c>
      <c r="B20" t="s">
        <v>31</v>
      </c>
      <c r="C20" t="s">
        <v>13</v>
      </c>
      <c r="D20" t="s">
        <v>38</v>
      </c>
      <c r="E20">
        <v>17</v>
      </c>
      <c r="F20">
        <v>22568</v>
      </c>
      <c r="G20">
        <v>5</v>
      </c>
      <c r="H20">
        <v>364473.2</v>
      </c>
    </row>
    <row r="21" spans="1:8" x14ac:dyDescent="0.35">
      <c r="A21" s="1">
        <v>45348</v>
      </c>
      <c r="B21" t="s">
        <v>39</v>
      </c>
      <c r="C21" t="s">
        <v>40</v>
      </c>
      <c r="D21" t="s">
        <v>32</v>
      </c>
      <c r="E21">
        <v>10</v>
      </c>
      <c r="F21">
        <v>4693</v>
      </c>
      <c r="G21">
        <v>0</v>
      </c>
      <c r="H21">
        <v>46930</v>
      </c>
    </row>
    <row r="22" spans="1:8" x14ac:dyDescent="0.35">
      <c r="A22" s="1">
        <v>45336</v>
      </c>
      <c r="B22" t="s">
        <v>39</v>
      </c>
      <c r="C22" t="s">
        <v>41</v>
      </c>
      <c r="D22" t="s">
        <v>42</v>
      </c>
      <c r="E22">
        <v>12</v>
      </c>
      <c r="F22">
        <v>20551</v>
      </c>
      <c r="G22">
        <v>10</v>
      </c>
      <c r="H22">
        <v>221950.8</v>
      </c>
    </row>
    <row r="23" spans="1:8" x14ac:dyDescent="0.35">
      <c r="A23" s="1">
        <v>45656</v>
      </c>
      <c r="B23" t="s">
        <v>43</v>
      </c>
      <c r="C23" t="s">
        <v>11</v>
      </c>
      <c r="D23" t="s">
        <v>42</v>
      </c>
      <c r="E23">
        <v>19</v>
      </c>
      <c r="F23">
        <v>19626</v>
      </c>
      <c r="G23">
        <v>5</v>
      </c>
      <c r="H23">
        <v>354249.3</v>
      </c>
    </row>
    <row r="24" spans="1:8" x14ac:dyDescent="0.35">
      <c r="A24" s="1">
        <v>45592</v>
      </c>
      <c r="B24" t="s">
        <v>12</v>
      </c>
      <c r="C24" t="s">
        <v>16</v>
      </c>
      <c r="D24" t="s">
        <v>32</v>
      </c>
      <c r="E24">
        <v>13</v>
      </c>
      <c r="F24">
        <v>815</v>
      </c>
      <c r="G24">
        <v>15</v>
      </c>
      <c r="H24">
        <v>9005.75</v>
      </c>
    </row>
    <row r="25" spans="1:8" x14ac:dyDescent="0.35">
      <c r="A25" s="1">
        <v>45404</v>
      </c>
      <c r="B25" t="s">
        <v>44</v>
      </c>
      <c r="C25" t="s">
        <v>34</v>
      </c>
      <c r="D25" t="s">
        <v>23</v>
      </c>
      <c r="E25">
        <v>29</v>
      </c>
      <c r="F25">
        <v>48733</v>
      </c>
      <c r="G25">
        <v>10</v>
      </c>
      <c r="H25">
        <v>1271931.3</v>
      </c>
    </row>
    <row r="26" spans="1:8" x14ac:dyDescent="0.35">
      <c r="A26" s="1">
        <v>45457</v>
      </c>
      <c r="B26" t="s">
        <v>8</v>
      </c>
      <c r="C26" t="s">
        <v>36</v>
      </c>
      <c r="D26" t="s">
        <v>14</v>
      </c>
      <c r="E26">
        <v>1</v>
      </c>
      <c r="F26">
        <v>2351</v>
      </c>
      <c r="G26">
        <v>5</v>
      </c>
      <c r="H26">
        <v>2233.4499999999998</v>
      </c>
    </row>
    <row r="27" spans="1:8" x14ac:dyDescent="0.35">
      <c r="A27" s="1">
        <v>45411</v>
      </c>
      <c r="B27" t="s">
        <v>45</v>
      </c>
      <c r="C27" t="s">
        <v>36</v>
      </c>
      <c r="D27" t="s">
        <v>19</v>
      </c>
      <c r="E27">
        <v>4</v>
      </c>
      <c r="F27">
        <v>14508</v>
      </c>
      <c r="H27">
        <v>58032</v>
      </c>
    </row>
    <row r="28" spans="1:8" x14ac:dyDescent="0.35">
      <c r="A28" s="1">
        <v>45303</v>
      </c>
      <c r="B28" t="s">
        <v>46</v>
      </c>
      <c r="C28" t="s">
        <v>25</v>
      </c>
      <c r="D28" t="s">
        <v>30</v>
      </c>
      <c r="E28">
        <v>3</v>
      </c>
      <c r="F28">
        <v>2830</v>
      </c>
      <c r="G28">
        <v>0</v>
      </c>
      <c r="H28">
        <v>8490</v>
      </c>
    </row>
    <row r="29" spans="1:8" x14ac:dyDescent="0.35">
      <c r="A29" s="1">
        <v>45488</v>
      </c>
      <c r="B29" t="s">
        <v>47</v>
      </c>
      <c r="C29" t="s">
        <v>13</v>
      </c>
      <c r="D29" t="s">
        <v>14</v>
      </c>
      <c r="E29">
        <v>20</v>
      </c>
      <c r="F29">
        <v>2913</v>
      </c>
      <c r="H29">
        <v>58260</v>
      </c>
    </row>
    <row r="30" spans="1:8" x14ac:dyDescent="0.35">
      <c r="A30" s="1">
        <v>45447</v>
      </c>
      <c r="B30" t="s">
        <v>43</v>
      </c>
      <c r="C30" t="s">
        <v>20</v>
      </c>
      <c r="D30" t="s">
        <v>19</v>
      </c>
      <c r="E30">
        <v>23</v>
      </c>
      <c r="F30">
        <v>13198</v>
      </c>
      <c r="G30">
        <v>0</v>
      </c>
      <c r="H30">
        <v>303554</v>
      </c>
    </row>
    <row r="31" spans="1:8" x14ac:dyDescent="0.35">
      <c r="A31" s="1">
        <v>45644</v>
      </c>
      <c r="B31" t="s">
        <v>48</v>
      </c>
      <c r="C31" t="s">
        <v>11</v>
      </c>
      <c r="D31" t="s">
        <v>28</v>
      </c>
      <c r="E31">
        <v>27</v>
      </c>
      <c r="F31">
        <v>4026</v>
      </c>
      <c r="G31">
        <v>5</v>
      </c>
      <c r="H31">
        <v>103266.9</v>
      </c>
    </row>
    <row r="32" spans="1:8" x14ac:dyDescent="0.35">
      <c r="A32" s="1">
        <v>45606</v>
      </c>
      <c r="B32" t="s">
        <v>24</v>
      </c>
      <c r="C32" t="s">
        <v>16</v>
      </c>
      <c r="D32" t="s">
        <v>28</v>
      </c>
      <c r="E32">
        <v>20</v>
      </c>
      <c r="F32">
        <v>5343</v>
      </c>
      <c r="G32">
        <v>20</v>
      </c>
      <c r="H32">
        <v>85488</v>
      </c>
    </row>
    <row r="33" spans="1:8" x14ac:dyDescent="0.35">
      <c r="A33" s="1">
        <v>45610</v>
      </c>
      <c r="B33" t="s">
        <v>49</v>
      </c>
      <c r="C33" t="s">
        <v>13</v>
      </c>
      <c r="D33" t="s">
        <v>21</v>
      </c>
      <c r="E33">
        <v>2</v>
      </c>
      <c r="F33">
        <v>1768</v>
      </c>
      <c r="G33">
        <v>10</v>
      </c>
      <c r="H33">
        <v>3182.4</v>
      </c>
    </row>
    <row r="34" spans="1:8" x14ac:dyDescent="0.35">
      <c r="A34" s="1">
        <v>45407</v>
      </c>
      <c r="B34" t="s">
        <v>26</v>
      </c>
      <c r="C34" t="s">
        <v>34</v>
      </c>
      <c r="D34" t="s">
        <v>38</v>
      </c>
      <c r="E34">
        <v>15</v>
      </c>
      <c r="F34">
        <v>22691</v>
      </c>
      <c r="G34">
        <v>15</v>
      </c>
      <c r="H34">
        <v>289310.25</v>
      </c>
    </row>
    <row r="35" spans="1:8" x14ac:dyDescent="0.35">
      <c r="A35" s="1">
        <v>45516</v>
      </c>
      <c r="B35" t="s">
        <v>29</v>
      </c>
      <c r="C35" t="s">
        <v>36</v>
      </c>
      <c r="D35" t="s">
        <v>42</v>
      </c>
      <c r="E35">
        <v>16</v>
      </c>
      <c r="F35">
        <v>17695</v>
      </c>
      <c r="G35">
        <v>15</v>
      </c>
      <c r="H35">
        <v>240652</v>
      </c>
    </row>
    <row r="36" spans="1:8" x14ac:dyDescent="0.35">
      <c r="A36" s="1">
        <v>45528</v>
      </c>
      <c r="B36" t="s">
        <v>48</v>
      </c>
      <c r="C36" t="s">
        <v>25</v>
      </c>
      <c r="D36" t="s">
        <v>23</v>
      </c>
      <c r="E36">
        <v>13</v>
      </c>
      <c r="F36">
        <v>48880</v>
      </c>
      <c r="G36">
        <v>15</v>
      </c>
      <c r="H36">
        <v>540124</v>
      </c>
    </row>
    <row r="37" spans="1:8" x14ac:dyDescent="0.35">
      <c r="A37" s="1">
        <v>45529</v>
      </c>
      <c r="B37" t="s">
        <v>26</v>
      </c>
      <c r="C37" t="s">
        <v>11</v>
      </c>
      <c r="D37" t="s">
        <v>23</v>
      </c>
      <c r="E37">
        <v>22</v>
      </c>
      <c r="F37">
        <v>47036</v>
      </c>
      <c r="G37">
        <v>0</v>
      </c>
      <c r="H37">
        <v>1034792</v>
      </c>
    </row>
    <row r="38" spans="1:8" x14ac:dyDescent="0.35">
      <c r="A38" s="1">
        <v>45653</v>
      </c>
      <c r="B38" t="s">
        <v>50</v>
      </c>
      <c r="C38" t="s">
        <v>36</v>
      </c>
      <c r="D38" t="s">
        <v>30</v>
      </c>
      <c r="E38">
        <v>19</v>
      </c>
      <c r="F38">
        <v>3919</v>
      </c>
      <c r="H38">
        <v>74461</v>
      </c>
    </row>
    <row r="39" spans="1:8" x14ac:dyDescent="0.35">
      <c r="A39" s="1">
        <v>45427</v>
      </c>
      <c r="B39" t="s">
        <v>51</v>
      </c>
      <c r="C39" t="s">
        <v>25</v>
      </c>
      <c r="D39" t="s">
        <v>23</v>
      </c>
      <c r="E39">
        <v>19</v>
      </c>
      <c r="F39">
        <v>48370</v>
      </c>
      <c r="H39">
        <v>919030</v>
      </c>
    </row>
    <row r="40" spans="1:8" x14ac:dyDescent="0.35">
      <c r="A40" s="1">
        <v>45567</v>
      </c>
      <c r="B40" t="s">
        <v>35</v>
      </c>
      <c r="C40" t="s">
        <v>25</v>
      </c>
      <c r="D40" t="s">
        <v>32</v>
      </c>
      <c r="E40">
        <v>17</v>
      </c>
      <c r="F40">
        <v>2520</v>
      </c>
      <c r="H40">
        <v>42840</v>
      </c>
    </row>
    <row r="41" spans="1:8" x14ac:dyDescent="0.35">
      <c r="A41" s="1">
        <v>45413</v>
      </c>
      <c r="B41" t="s">
        <v>48</v>
      </c>
      <c r="C41" t="s">
        <v>16</v>
      </c>
      <c r="D41" t="s">
        <v>9</v>
      </c>
      <c r="E41">
        <v>16</v>
      </c>
      <c r="F41">
        <v>6256</v>
      </c>
      <c r="G41">
        <v>0</v>
      </c>
      <c r="H41">
        <v>100096</v>
      </c>
    </row>
    <row r="42" spans="1:8" x14ac:dyDescent="0.35">
      <c r="A42" s="1">
        <v>45406</v>
      </c>
      <c r="B42" t="s">
        <v>51</v>
      </c>
      <c r="C42" t="s">
        <v>13</v>
      </c>
      <c r="D42" t="s">
        <v>42</v>
      </c>
      <c r="E42">
        <v>19</v>
      </c>
      <c r="F42">
        <v>18340</v>
      </c>
      <c r="H42">
        <v>348460</v>
      </c>
    </row>
    <row r="43" spans="1:8" x14ac:dyDescent="0.35">
      <c r="A43" s="1">
        <v>45549</v>
      </c>
      <c r="B43" t="s">
        <v>52</v>
      </c>
      <c r="C43" t="s">
        <v>41</v>
      </c>
      <c r="D43" t="s">
        <v>9</v>
      </c>
      <c r="E43">
        <v>14</v>
      </c>
      <c r="F43">
        <v>10942</v>
      </c>
      <c r="G43">
        <v>0</v>
      </c>
      <c r="H43">
        <v>153188</v>
      </c>
    </row>
    <row r="44" spans="1:8" x14ac:dyDescent="0.35">
      <c r="A44" s="1">
        <v>45376</v>
      </c>
      <c r="B44" t="s">
        <v>48</v>
      </c>
      <c r="C44" t="s">
        <v>41</v>
      </c>
      <c r="D44" t="s">
        <v>14</v>
      </c>
      <c r="E44">
        <v>26</v>
      </c>
      <c r="F44">
        <v>2189</v>
      </c>
      <c r="G44">
        <v>0</v>
      </c>
      <c r="H44">
        <v>56914</v>
      </c>
    </row>
    <row r="45" spans="1:8" x14ac:dyDescent="0.35">
      <c r="A45" s="1">
        <v>45632</v>
      </c>
      <c r="B45" t="s">
        <v>29</v>
      </c>
      <c r="C45" t="s">
        <v>40</v>
      </c>
      <c r="D45" t="s">
        <v>53</v>
      </c>
      <c r="F45">
        <v>-168</v>
      </c>
      <c r="G45">
        <v>5</v>
      </c>
      <c r="H45">
        <v>-2872.8</v>
      </c>
    </row>
    <row r="46" spans="1:8" x14ac:dyDescent="0.35">
      <c r="A46" s="1">
        <v>45468</v>
      </c>
      <c r="B46" t="s">
        <v>52</v>
      </c>
      <c r="C46" t="s">
        <v>11</v>
      </c>
      <c r="D46" t="s">
        <v>19</v>
      </c>
      <c r="F46">
        <v>13987</v>
      </c>
      <c r="H46">
        <v>307714</v>
      </c>
    </row>
    <row r="47" spans="1:8" x14ac:dyDescent="0.35">
      <c r="A47" s="1">
        <v>45458</v>
      </c>
      <c r="B47" t="s">
        <v>54</v>
      </c>
      <c r="C47" t="s">
        <v>41</v>
      </c>
      <c r="D47" t="s">
        <v>17</v>
      </c>
      <c r="E47">
        <v>13</v>
      </c>
      <c r="F47">
        <v>1525</v>
      </c>
      <c r="G47">
        <v>20</v>
      </c>
      <c r="H47">
        <v>15860</v>
      </c>
    </row>
    <row r="48" spans="1:8" x14ac:dyDescent="0.35">
      <c r="A48" s="1">
        <v>45305</v>
      </c>
      <c r="C48" t="s">
        <v>16</v>
      </c>
      <c r="D48" t="s">
        <v>19</v>
      </c>
      <c r="E48">
        <v>14</v>
      </c>
      <c r="F48">
        <v>10912</v>
      </c>
      <c r="G48">
        <v>5</v>
      </c>
      <c r="H48">
        <v>145129.60000000001</v>
      </c>
    </row>
    <row r="49" spans="1:8" x14ac:dyDescent="0.35">
      <c r="A49" s="1">
        <v>45313</v>
      </c>
      <c r="B49" t="s">
        <v>37</v>
      </c>
      <c r="C49" t="s">
        <v>25</v>
      </c>
      <c r="D49" t="s">
        <v>19</v>
      </c>
      <c r="E49">
        <v>30</v>
      </c>
      <c r="F49">
        <v>11376</v>
      </c>
      <c r="H49">
        <v>341280</v>
      </c>
    </row>
    <row r="50" spans="1:8" x14ac:dyDescent="0.35">
      <c r="A50" s="1">
        <v>45341</v>
      </c>
      <c r="B50" t="s">
        <v>50</v>
      </c>
      <c r="C50" t="s">
        <v>13</v>
      </c>
      <c r="D50" t="s">
        <v>23</v>
      </c>
      <c r="E50">
        <v>11</v>
      </c>
      <c r="F50">
        <v>47234</v>
      </c>
      <c r="G50">
        <v>10</v>
      </c>
      <c r="H50">
        <v>467616.6</v>
      </c>
    </row>
    <row r="51" spans="1:8" x14ac:dyDescent="0.35">
      <c r="A51" s="1">
        <v>45399</v>
      </c>
      <c r="B51" t="s">
        <v>15</v>
      </c>
      <c r="C51" t="s">
        <v>20</v>
      </c>
      <c r="D51" t="s">
        <v>21</v>
      </c>
      <c r="E51">
        <v>10</v>
      </c>
      <c r="F51">
        <v>-395</v>
      </c>
      <c r="G51">
        <v>15</v>
      </c>
      <c r="H51">
        <v>-3357.5</v>
      </c>
    </row>
    <row r="52" spans="1:8" x14ac:dyDescent="0.35">
      <c r="A52" s="1">
        <v>45348</v>
      </c>
      <c r="B52" t="s">
        <v>33</v>
      </c>
      <c r="C52" t="s">
        <v>36</v>
      </c>
      <c r="D52" t="s">
        <v>38</v>
      </c>
      <c r="E52">
        <v>19</v>
      </c>
      <c r="F52">
        <v>27349</v>
      </c>
      <c r="G52">
        <v>10</v>
      </c>
      <c r="H52">
        <v>467667.9</v>
      </c>
    </row>
    <row r="53" spans="1:8" x14ac:dyDescent="0.35">
      <c r="A53" s="1">
        <v>45358</v>
      </c>
      <c r="B53" t="s">
        <v>44</v>
      </c>
      <c r="C53" t="s">
        <v>20</v>
      </c>
      <c r="D53" t="s">
        <v>17</v>
      </c>
      <c r="E53">
        <v>8</v>
      </c>
      <c r="G53">
        <v>0</v>
      </c>
      <c r="H53">
        <v>51976</v>
      </c>
    </row>
    <row r="54" spans="1:8" x14ac:dyDescent="0.35">
      <c r="A54" s="1">
        <v>45452</v>
      </c>
      <c r="B54" t="s">
        <v>47</v>
      </c>
      <c r="D54" t="s">
        <v>32</v>
      </c>
      <c r="E54">
        <v>12</v>
      </c>
      <c r="F54">
        <v>193</v>
      </c>
      <c r="G54">
        <v>15</v>
      </c>
      <c r="H54">
        <v>1968.6</v>
      </c>
    </row>
    <row r="55" spans="1:8" x14ac:dyDescent="0.35">
      <c r="A55" s="1">
        <v>45424</v>
      </c>
      <c r="B55" t="s">
        <v>50</v>
      </c>
      <c r="C55" t="s">
        <v>34</v>
      </c>
      <c r="D55" t="s">
        <v>14</v>
      </c>
      <c r="E55">
        <v>9</v>
      </c>
      <c r="F55">
        <v>-501</v>
      </c>
      <c r="G55">
        <v>20</v>
      </c>
      <c r="H55">
        <v>-3607.2</v>
      </c>
    </row>
    <row r="56" spans="1:8" x14ac:dyDescent="0.35">
      <c r="A56" s="1">
        <v>45403</v>
      </c>
      <c r="B56" t="s">
        <v>27</v>
      </c>
      <c r="C56" t="s">
        <v>11</v>
      </c>
      <c r="D56" t="s">
        <v>42</v>
      </c>
      <c r="F56">
        <v>17803</v>
      </c>
      <c r="G56">
        <v>20</v>
      </c>
      <c r="H56">
        <v>384544.8</v>
      </c>
    </row>
    <row r="57" spans="1:8" x14ac:dyDescent="0.35">
      <c r="A57" s="1">
        <v>45351</v>
      </c>
      <c r="B57" t="s">
        <v>39</v>
      </c>
      <c r="C57" t="s">
        <v>25</v>
      </c>
      <c r="D57" t="s">
        <v>28</v>
      </c>
      <c r="E57">
        <v>15</v>
      </c>
      <c r="F57">
        <v>5056</v>
      </c>
      <c r="G57">
        <v>10</v>
      </c>
      <c r="H57">
        <v>68256</v>
      </c>
    </row>
    <row r="58" spans="1:8" x14ac:dyDescent="0.35">
      <c r="A58" s="1">
        <v>45537</v>
      </c>
      <c r="B58" t="s">
        <v>48</v>
      </c>
      <c r="C58" t="s">
        <v>11</v>
      </c>
      <c r="D58" t="s">
        <v>28</v>
      </c>
      <c r="E58">
        <v>13</v>
      </c>
      <c r="F58">
        <v>2770</v>
      </c>
      <c r="G58">
        <v>20</v>
      </c>
      <c r="H58">
        <v>28808</v>
      </c>
    </row>
    <row r="59" spans="1:8" x14ac:dyDescent="0.35">
      <c r="A59" s="1">
        <v>45608</v>
      </c>
      <c r="B59" t="s">
        <v>52</v>
      </c>
      <c r="C59" t="s">
        <v>40</v>
      </c>
      <c r="D59" t="s">
        <v>42</v>
      </c>
      <c r="E59">
        <v>27</v>
      </c>
      <c r="F59">
        <v>17209</v>
      </c>
      <c r="G59">
        <v>15</v>
      </c>
      <c r="H59">
        <v>394946.55</v>
      </c>
    </row>
    <row r="60" spans="1:8" x14ac:dyDescent="0.35">
      <c r="A60" s="1">
        <v>45651</v>
      </c>
      <c r="B60" t="s">
        <v>54</v>
      </c>
      <c r="C60" t="s">
        <v>34</v>
      </c>
      <c r="D60" t="s">
        <v>30</v>
      </c>
      <c r="E60">
        <v>28</v>
      </c>
      <c r="F60">
        <v>3177</v>
      </c>
      <c r="G60">
        <v>20</v>
      </c>
      <c r="H60">
        <v>71164.800000000003</v>
      </c>
    </row>
    <row r="61" spans="1:8" x14ac:dyDescent="0.35">
      <c r="A61" s="1">
        <v>45654</v>
      </c>
      <c r="B61" t="s">
        <v>35</v>
      </c>
      <c r="C61" t="s">
        <v>41</v>
      </c>
      <c r="D61" t="s">
        <v>17</v>
      </c>
      <c r="E61">
        <v>16</v>
      </c>
      <c r="F61">
        <v>5091</v>
      </c>
      <c r="G61">
        <v>20</v>
      </c>
      <c r="H61">
        <v>65164.800000000003</v>
      </c>
    </row>
    <row r="62" spans="1:8" x14ac:dyDescent="0.35">
      <c r="A62" s="1">
        <v>45440</v>
      </c>
      <c r="B62" t="s">
        <v>48</v>
      </c>
      <c r="C62" t="s">
        <v>20</v>
      </c>
      <c r="D62" t="s">
        <v>30</v>
      </c>
      <c r="E62">
        <v>19</v>
      </c>
      <c r="F62">
        <v>4436</v>
      </c>
      <c r="G62">
        <v>15</v>
      </c>
      <c r="H62">
        <v>71641.399999999994</v>
      </c>
    </row>
    <row r="63" spans="1:8" x14ac:dyDescent="0.35">
      <c r="A63" s="1">
        <v>45623</v>
      </c>
      <c r="B63" t="s">
        <v>47</v>
      </c>
      <c r="D63" t="s">
        <v>38</v>
      </c>
      <c r="E63">
        <v>21</v>
      </c>
      <c r="F63">
        <v>26582</v>
      </c>
      <c r="G63">
        <v>10</v>
      </c>
      <c r="H63">
        <v>502399.8</v>
      </c>
    </row>
    <row r="64" spans="1:8" x14ac:dyDescent="0.35">
      <c r="A64" s="1">
        <v>45523</v>
      </c>
      <c r="B64" t="s">
        <v>55</v>
      </c>
      <c r="C64" t="s">
        <v>11</v>
      </c>
      <c r="D64" t="s">
        <v>19</v>
      </c>
      <c r="E64">
        <v>18</v>
      </c>
      <c r="F64">
        <v>14629</v>
      </c>
      <c r="G64">
        <v>5</v>
      </c>
      <c r="H64">
        <v>250155.9</v>
      </c>
    </row>
    <row r="65" spans="1:8" x14ac:dyDescent="0.35">
      <c r="A65" s="1">
        <v>45501</v>
      </c>
      <c r="B65" t="s">
        <v>33</v>
      </c>
      <c r="C65" t="s">
        <v>11</v>
      </c>
      <c r="D65" t="s">
        <v>53</v>
      </c>
      <c r="E65">
        <v>21</v>
      </c>
      <c r="F65">
        <v>167</v>
      </c>
      <c r="G65">
        <v>20</v>
      </c>
      <c r="H65">
        <v>2805.6</v>
      </c>
    </row>
    <row r="66" spans="1:8" x14ac:dyDescent="0.35">
      <c r="A66" s="1">
        <v>45329</v>
      </c>
      <c r="B66" t="s">
        <v>55</v>
      </c>
      <c r="C66" t="s">
        <v>36</v>
      </c>
      <c r="D66" t="s">
        <v>53</v>
      </c>
      <c r="E66">
        <v>24</v>
      </c>
      <c r="F66">
        <v>3205</v>
      </c>
      <c r="G66">
        <v>0</v>
      </c>
      <c r="H66">
        <v>76920</v>
      </c>
    </row>
    <row r="67" spans="1:8" x14ac:dyDescent="0.35">
      <c r="A67" s="1">
        <v>45370</v>
      </c>
      <c r="B67" t="s">
        <v>18</v>
      </c>
      <c r="D67" t="s">
        <v>21</v>
      </c>
      <c r="F67">
        <v>3431</v>
      </c>
      <c r="G67">
        <v>5</v>
      </c>
      <c r="H67">
        <v>48891.75</v>
      </c>
    </row>
    <row r="68" spans="1:8" x14ac:dyDescent="0.35">
      <c r="A68" s="1">
        <v>45492</v>
      </c>
      <c r="B68" t="s">
        <v>24</v>
      </c>
      <c r="C68" t="s">
        <v>16</v>
      </c>
      <c r="D68" t="s">
        <v>9</v>
      </c>
      <c r="E68">
        <v>1</v>
      </c>
      <c r="F68">
        <v>10667</v>
      </c>
      <c r="G68">
        <v>15</v>
      </c>
      <c r="H68">
        <v>9066.9500000000007</v>
      </c>
    </row>
    <row r="69" spans="1:8" x14ac:dyDescent="0.35">
      <c r="A69" s="1">
        <v>45476</v>
      </c>
      <c r="B69" t="s">
        <v>29</v>
      </c>
      <c r="C69" t="s">
        <v>16</v>
      </c>
      <c r="D69" t="s">
        <v>38</v>
      </c>
      <c r="E69">
        <v>24</v>
      </c>
      <c r="F69">
        <v>23890</v>
      </c>
      <c r="G69">
        <v>20</v>
      </c>
      <c r="H69">
        <v>458688</v>
      </c>
    </row>
    <row r="70" spans="1:8" x14ac:dyDescent="0.35">
      <c r="A70" s="1">
        <v>45296</v>
      </c>
      <c r="B70" t="s">
        <v>47</v>
      </c>
      <c r="C70" t="s">
        <v>20</v>
      </c>
      <c r="D70" t="s">
        <v>42</v>
      </c>
      <c r="E70">
        <v>26</v>
      </c>
      <c r="F70">
        <v>22320</v>
      </c>
      <c r="G70">
        <v>0</v>
      </c>
      <c r="H70">
        <v>580320</v>
      </c>
    </row>
    <row r="71" spans="1:8" x14ac:dyDescent="0.35">
      <c r="A71" s="1">
        <v>45540</v>
      </c>
      <c r="B71" t="s">
        <v>49</v>
      </c>
      <c r="C71" t="s">
        <v>11</v>
      </c>
      <c r="D71" t="s">
        <v>21</v>
      </c>
      <c r="E71">
        <v>29</v>
      </c>
      <c r="F71">
        <v>723</v>
      </c>
      <c r="G71">
        <v>20</v>
      </c>
      <c r="H71">
        <v>16773.599999999999</v>
      </c>
    </row>
    <row r="72" spans="1:8" x14ac:dyDescent="0.35">
      <c r="A72" s="1">
        <v>45560</v>
      </c>
      <c r="B72" t="s">
        <v>8</v>
      </c>
      <c r="C72" t="s">
        <v>20</v>
      </c>
      <c r="D72" t="s">
        <v>19</v>
      </c>
      <c r="F72">
        <v>9958</v>
      </c>
      <c r="H72">
        <v>19916</v>
      </c>
    </row>
    <row r="73" spans="1:8" x14ac:dyDescent="0.35">
      <c r="A73" s="1">
        <v>45364</v>
      </c>
      <c r="B73" t="s">
        <v>27</v>
      </c>
      <c r="C73" t="s">
        <v>20</v>
      </c>
      <c r="D73" t="s">
        <v>17</v>
      </c>
      <c r="E73">
        <v>15</v>
      </c>
      <c r="F73">
        <v>5441</v>
      </c>
      <c r="G73">
        <v>5</v>
      </c>
      <c r="H73">
        <v>77534.25</v>
      </c>
    </row>
    <row r="74" spans="1:8" x14ac:dyDescent="0.35">
      <c r="A74" s="1">
        <v>45592</v>
      </c>
      <c r="C74" t="s">
        <v>13</v>
      </c>
      <c r="D74" t="s">
        <v>53</v>
      </c>
      <c r="F74">
        <v>433</v>
      </c>
      <c r="G74">
        <v>10</v>
      </c>
      <c r="H74">
        <v>11691</v>
      </c>
    </row>
    <row r="75" spans="1:8" x14ac:dyDescent="0.35">
      <c r="A75" s="1">
        <v>45394</v>
      </c>
      <c r="B75" t="s">
        <v>54</v>
      </c>
      <c r="C75" t="s">
        <v>34</v>
      </c>
      <c r="D75" t="s">
        <v>53</v>
      </c>
      <c r="F75">
        <v>2227</v>
      </c>
      <c r="H75">
        <v>66810</v>
      </c>
    </row>
    <row r="76" spans="1:8" x14ac:dyDescent="0.35">
      <c r="A76" s="1">
        <v>45548</v>
      </c>
      <c r="B76" t="s">
        <v>27</v>
      </c>
      <c r="C76" t="s">
        <v>41</v>
      </c>
      <c r="D76" t="s">
        <v>21</v>
      </c>
      <c r="E76">
        <v>15</v>
      </c>
      <c r="F76">
        <v>4601</v>
      </c>
      <c r="G76">
        <v>20</v>
      </c>
      <c r="H76">
        <v>55212</v>
      </c>
    </row>
    <row r="77" spans="1:8" x14ac:dyDescent="0.35">
      <c r="A77" s="1">
        <v>45574</v>
      </c>
      <c r="B77" t="s">
        <v>43</v>
      </c>
      <c r="C77" t="s">
        <v>25</v>
      </c>
      <c r="D77" t="s">
        <v>38</v>
      </c>
      <c r="E77">
        <v>3</v>
      </c>
      <c r="F77">
        <v>25995</v>
      </c>
      <c r="G77">
        <v>20</v>
      </c>
      <c r="H77">
        <v>62388</v>
      </c>
    </row>
    <row r="78" spans="1:8" x14ac:dyDescent="0.35">
      <c r="A78" s="1">
        <v>45606</v>
      </c>
      <c r="B78" t="s">
        <v>35</v>
      </c>
      <c r="C78" t="s">
        <v>20</v>
      </c>
      <c r="D78" t="s">
        <v>53</v>
      </c>
      <c r="E78">
        <v>18</v>
      </c>
      <c r="F78">
        <v>-2124</v>
      </c>
      <c r="H78">
        <v>-38232</v>
      </c>
    </row>
    <row r="79" spans="1:8" x14ac:dyDescent="0.35">
      <c r="A79" s="1">
        <v>45592</v>
      </c>
      <c r="B79" t="s">
        <v>49</v>
      </c>
      <c r="C79" t="s">
        <v>20</v>
      </c>
      <c r="D79" t="s">
        <v>53</v>
      </c>
      <c r="E79">
        <v>24</v>
      </c>
      <c r="F79">
        <v>-2211</v>
      </c>
      <c r="G79">
        <v>0</v>
      </c>
      <c r="H79">
        <v>-53064</v>
      </c>
    </row>
    <row r="80" spans="1:8" x14ac:dyDescent="0.35">
      <c r="A80" s="1">
        <v>45339</v>
      </c>
      <c r="B80" t="s">
        <v>26</v>
      </c>
      <c r="C80" t="s">
        <v>16</v>
      </c>
      <c r="D80" t="s">
        <v>17</v>
      </c>
      <c r="E80">
        <v>13</v>
      </c>
      <c r="F80">
        <v>4302</v>
      </c>
      <c r="G80">
        <v>20</v>
      </c>
      <c r="H80">
        <v>44740.800000000003</v>
      </c>
    </row>
    <row r="81" spans="1:8" x14ac:dyDescent="0.35">
      <c r="A81" s="1">
        <v>45654</v>
      </c>
      <c r="B81" t="s">
        <v>27</v>
      </c>
      <c r="C81" t="s">
        <v>41</v>
      </c>
      <c r="D81" t="s">
        <v>9</v>
      </c>
      <c r="E81">
        <v>11</v>
      </c>
      <c r="F81">
        <v>8959</v>
      </c>
      <c r="G81">
        <v>15</v>
      </c>
      <c r="H81">
        <v>83766.649999999994</v>
      </c>
    </row>
    <row r="82" spans="1:8" x14ac:dyDescent="0.35">
      <c r="A82" s="1">
        <v>45398</v>
      </c>
      <c r="B82" t="s">
        <v>50</v>
      </c>
      <c r="C82" t="s">
        <v>34</v>
      </c>
      <c r="D82" t="s">
        <v>19</v>
      </c>
      <c r="E82">
        <v>6</v>
      </c>
      <c r="F82">
        <v>11006</v>
      </c>
      <c r="G82">
        <v>5</v>
      </c>
      <c r="H82">
        <v>62734.2</v>
      </c>
    </row>
    <row r="83" spans="1:8" x14ac:dyDescent="0.35">
      <c r="A83" s="1">
        <v>45319</v>
      </c>
      <c r="B83" t="s">
        <v>56</v>
      </c>
      <c r="C83" t="s">
        <v>20</v>
      </c>
      <c r="D83" t="s">
        <v>14</v>
      </c>
      <c r="E83">
        <v>6</v>
      </c>
      <c r="F83">
        <v>3643</v>
      </c>
      <c r="G83">
        <v>20</v>
      </c>
      <c r="H83">
        <v>17486.400000000001</v>
      </c>
    </row>
    <row r="84" spans="1:8" x14ac:dyDescent="0.35">
      <c r="A84" s="1">
        <v>45634</v>
      </c>
      <c r="B84" t="s">
        <v>8</v>
      </c>
      <c r="C84" t="s">
        <v>34</v>
      </c>
      <c r="D84" t="s">
        <v>21</v>
      </c>
      <c r="F84">
        <v>335</v>
      </c>
      <c r="G84">
        <v>15</v>
      </c>
      <c r="H84">
        <v>8257.75</v>
      </c>
    </row>
    <row r="85" spans="1:8" x14ac:dyDescent="0.35">
      <c r="A85" s="1">
        <v>45594</v>
      </c>
      <c r="B85" t="s">
        <v>15</v>
      </c>
      <c r="C85" t="s">
        <v>11</v>
      </c>
      <c r="D85" t="s">
        <v>21</v>
      </c>
      <c r="E85">
        <v>24</v>
      </c>
      <c r="F85">
        <v>5318</v>
      </c>
      <c r="G85">
        <v>10</v>
      </c>
      <c r="H85">
        <v>114868.8</v>
      </c>
    </row>
    <row r="86" spans="1:8" x14ac:dyDescent="0.35">
      <c r="A86" s="1">
        <v>45382</v>
      </c>
      <c r="B86" t="s">
        <v>24</v>
      </c>
      <c r="C86" t="s">
        <v>41</v>
      </c>
      <c r="D86" t="s">
        <v>28</v>
      </c>
      <c r="E86">
        <v>30</v>
      </c>
      <c r="F86">
        <v>5932</v>
      </c>
      <c r="H86">
        <v>177960</v>
      </c>
    </row>
    <row r="87" spans="1:8" x14ac:dyDescent="0.35">
      <c r="A87" s="1">
        <v>45497</v>
      </c>
      <c r="B87" t="s">
        <v>39</v>
      </c>
      <c r="C87" t="s">
        <v>20</v>
      </c>
      <c r="D87" t="s">
        <v>28</v>
      </c>
      <c r="E87">
        <v>6</v>
      </c>
      <c r="F87">
        <v>1172</v>
      </c>
      <c r="G87">
        <v>0</v>
      </c>
      <c r="H87">
        <v>7032</v>
      </c>
    </row>
    <row r="88" spans="1:8" x14ac:dyDescent="0.35">
      <c r="A88" s="1">
        <v>45555</v>
      </c>
      <c r="B88" t="s">
        <v>46</v>
      </c>
      <c r="C88" t="s">
        <v>34</v>
      </c>
      <c r="D88" t="s">
        <v>23</v>
      </c>
      <c r="E88">
        <v>15</v>
      </c>
      <c r="F88">
        <v>52533</v>
      </c>
      <c r="G88">
        <v>10</v>
      </c>
      <c r="H88">
        <v>709195.5</v>
      </c>
    </row>
    <row r="89" spans="1:8" x14ac:dyDescent="0.35">
      <c r="A89" s="1">
        <v>45476</v>
      </c>
      <c r="B89" t="s">
        <v>24</v>
      </c>
      <c r="C89" t="s">
        <v>13</v>
      </c>
      <c r="D89" t="s">
        <v>9</v>
      </c>
      <c r="E89">
        <v>11</v>
      </c>
      <c r="F89">
        <v>9705</v>
      </c>
      <c r="G89">
        <v>15</v>
      </c>
      <c r="H89">
        <v>90741.75</v>
      </c>
    </row>
    <row r="90" spans="1:8" x14ac:dyDescent="0.35">
      <c r="A90" s="1">
        <v>45373</v>
      </c>
      <c r="B90" t="s">
        <v>39</v>
      </c>
      <c r="C90" t="s">
        <v>25</v>
      </c>
      <c r="D90" t="s">
        <v>53</v>
      </c>
      <c r="E90">
        <v>23</v>
      </c>
      <c r="F90">
        <v>44</v>
      </c>
      <c r="G90">
        <v>10</v>
      </c>
      <c r="H90">
        <v>910.8</v>
      </c>
    </row>
    <row r="91" spans="1:8" x14ac:dyDescent="0.35">
      <c r="A91" s="1">
        <v>45596</v>
      </c>
      <c r="B91" t="s">
        <v>27</v>
      </c>
      <c r="C91" t="s">
        <v>40</v>
      </c>
      <c r="D91" t="s">
        <v>19</v>
      </c>
      <c r="E91">
        <v>14</v>
      </c>
      <c r="F91">
        <v>11614</v>
      </c>
      <c r="G91">
        <v>10</v>
      </c>
      <c r="H91">
        <v>146336.4</v>
      </c>
    </row>
    <row r="92" spans="1:8" x14ac:dyDescent="0.35">
      <c r="A92" s="1">
        <v>45405</v>
      </c>
      <c r="B92" t="s">
        <v>18</v>
      </c>
      <c r="C92" t="s">
        <v>11</v>
      </c>
      <c r="D92" t="s">
        <v>14</v>
      </c>
      <c r="E92">
        <v>11</v>
      </c>
      <c r="F92">
        <v>3412</v>
      </c>
      <c r="G92">
        <v>10</v>
      </c>
      <c r="H92">
        <v>33778.800000000003</v>
      </c>
    </row>
    <row r="93" spans="1:8" x14ac:dyDescent="0.35">
      <c r="A93" s="1">
        <v>45548</v>
      </c>
      <c r="B93" t="s">
        <v>55</v>
      </c>
      <c r="C93" t="s">
        <v>11</v>
      </c>
      <c r="D93" t="s">
        <v>9</v>
      </c>
      <c r="E93">
        <v>21</v>
      </c>
      <c r="F93">
        <v>8468</v>
      </c>
      <c r="G93">
        <v>0</v>
      </c>
      <c r="H93">
        <v>177828</v>
      </c>
    </row>
    <row r="94" spans="1:8" x14ac:dyDescent="0.35">
      <c r="A94" s="1">
        <v>45349</v>
      </c>
      <c r="B94" t="s">
        <v>29</v>
      </c>
      <c r="C94" t="s">
        <v>25</v>
      </c>
      <c r="D94" t="s">
        <v>14</v>
      </c>
      <c r="E94">
        <v>18</v>
      </c>
      <c r="F94">
        <v>3115</v>
      </c>
      <c r="G94">
        <v>5</v>
      </c>
      <c r="H94">
        <v>53266.5</v>
      </c>
    </row>
    <row r="95" spans="1:8" x14ac:dyDescent="0.35">
      <c r="A95" s="1">
        <v>45294</v>
      </c>
      <c r="B95" t="s">
        <v>43</v>
      </c>
      <c r="C95" t="s">
        <v>20</v>
      </c>
      <c r="D95" t="s">
        <v>23</v>
      </c>
      <c r="E95">
        <v>28</v>
      </c>
      <c r="F95">
        <v>48353</v>
      </c>
      <c r="G95">
        <v>0</v>
      </c>
      <c r="H95">
        <v>1353884</v>
      </c>
    </row>
    <row r="96" spans="1:8" x14ac:dyDescent="0.35">
      <c r="A96" s="1">
        <v>45543</v>
      </c>
      <c r="B96" t="s">
        <v>46</v>
      </c>
      <c r="C96" t="s">
        <v>13</v>
      </c>
      <c r="D96" t="s">
        <v>53</v>
      </c>
      <c r="E96">
        <v>17</v>
      </c>
      <c r="F96">
        <v>2599</v>
      </c>
      <c r="G96">
        <v>10</v>
      </c>
      <c r="H96">
        <v>39764.699999999997</v>
      </c>
    </row>
    <row r="97" spans="1:8" x14ac:dyDescent="0.35">
      <c r="A97" s="1">
        <v>45415</v>
      </c>
      <c r="B97" t="s">
        <v>51</v>
      </c>
      <c r="C97" t="s">
        <v>20</v>
      </c>
      <c r="D97" t="s">
        <v>9</v>
      </c>
      <c r="F97">
        <v>9954</v>
      </c>
      <c r="H97">
        <v>149310</v>
      </c>
    </row>
    <row r="98" spans="1:8" x14ac:dyDescent="0.35">
      <c r="A98" s="1">
        <v>45318</v>
      </c>
      <c r="B98" t="s">
        <v>12</v>
      </c>
      <c r="C98" t="s">
        <v>41</v>
      </c>
      <c r="D98" t="s">
        <v>53</v>
      </c>
      <c r="E98">
        <v>24</v>
      </c>
      <c r="F98">
        <v>-430</v>
      </c>
      <c r="G98">
        <v>20</v>
      </c>
      <c r="H98">
        <v>-8256</v>
      </c>
    </row>
    <row r="99" spans="1:8" x14ac:dyDescent="0.35">
      <c r="A99" s="1">
        <v>45526</v>
      </c>
      <c r="B99" t="s">
        <v>22</v>
      </c>
      <c r="C99" t="s">
        <v>36</v>
      </c>
      <c r="D99" t="s">
        <v>32</v>
      </c>
      <c r="E99">
        <v>8</v>
      </c>
      <c r="F99">
        <v>5271</v>
      </c>
      <c r="G99">
        <v>0</v>
      </c>
      <c r="H99">
        <v>42168</v>
      </c>
    </row>
    <row r="100" spans="1:8" x14ac:dyDescent="0.35">
      <c r="A100" s="1">
        <v>45372</v>
      </c>
      <c r="B100" t="s">
        <v>37</v>
      </c>
      <c r="C100" t="s">
        <v>20</v>
      </c>
      <c r="D100" t="s">
        <v>30</v>
      </c>
      <c r="E100">
        <v>3</v>
      </c>
      <c r="F100">
        <v>2840</v>
      </c>
      <c r="G100">
        <v>0</v>
      </c>
      <c r="H100">
        <v>8520</v>
      </c>
    </row>
    <row r="101" spans="1:8" x14ac:dyDescent="0.35">
      <c r="A101" s="1">
        <v>45402</v>
      </c>
      <c r="C101" t="s">
        <v>20</v>
      </c>
      <c r="D101" t="s">
        <v>28</v>
      </c>
      <c r="E101">
        <v>27</v>
      </c>
      <c r="F101">
        <v>4063</v>
      </c>
      <c r="G101">
        <v>20</v>
      </c>
      <c r="H101">
        <v>87760.8</v>
      </c>
    </row>
    <row r="102" spans="1:8" x14ac:dyDescent="0.35">
      <c r="A102" s="1">
        <v>45363</v>
      </c>
      <c r="B102" t="s">
        <v>54</v>
      </c>
      <c r="C102" t="s">
        <v>41</v>
      </c>
      <c r="D102" t="s">
        <v>9</v>
      </c>
      <c r="E102">
        <v>27</v>
      </c>
      <c r="F102">
        <v>8713</v>
      </c>
      <c r="G102">
        <v>5</v>
      </c>
      <c r="H102">
        <v>223488.45</v>
      </c>
    </row>
    <row r="103" spans="1:8" x14ac:dyDescent="0.35">
      <c r="A103" s="1">
        <v>45547</v>
      </c>
      <c r="B103" t="s">
        <v>52</v>
      </c>
      <c r="C103" t="s">
        <v>41</v>
      </c>
      <c r="D103" t="s">
        <v>53</v>
      </c>
      <c r="E103">
        <v>11</v>
      </c>
      <c r="F103">
        <v>1174</v>
      </c>
      <c r="G103">
        <v>0</v>
      </c>
      <c r="H103">
        <v>12914</v>
      </c>
    </row>
    <row r="104" spans="1:8" x14ac:dyDescent="0.35">
      <c r="A104" s="1">
        <v>45472</v>
      </c>
      <c r="B104" t="s">
        <v>26</v>
      </c>
      <c r="C104" t="s">
        <v>13</v>
      </c>
      <c r="D104" t="s">
        <v>30</v>
      </c>
      <c r="E104">
        <v>4</v>
      </c>
      <c r="F104">
        <v>-800</v>
      </c>
      <c r="G104">
        <v>10</v>
      </c>
      <c r="H104">
        <v>-2880</v>
      </c>
    </row>
    <row r="105" spans="1:8" x14ac:dyDescent="0.35">
      <c r="A105" s="1">
        <v>45610</v>
      </c>
      <c r="B105" t="s">
        <v>46</v>
      </c>
      <c r="C105" t="s">
        <v>36</v>
      </c>
      <c r="D105" t="s">
        <v>14</v>
      </c>
      <c r="E105">
        <v>6</v>
      </c>
      <c r="F105">
        <v>-2066</v>
      </c>
      <c r="G105">
        <v>20</v>
      </c>
      <c r="H105">
        <v>-9916.7999999999993</v>
      </c>
    </row>
    <row r="106" spans="1:8" x14ac:dyDescent="0.35">
      <c r="A106" s="1">
        <v>45441</v>
      </c>
      <c r="B106" t="s">
        <v>24</v>
      </c>
      <c r="C106" t="s">
        <v>34</v>
      </c>
      <c r="D106" t="s">
        <v>32</v>
      </c>
      <c r="E106">
        <v>12</v>
      </c>
      <c r="F106">
        <v>90</v>
      </c>
      <c r="G106">
        <v>20</v>
      </c>
      <c r="H106">
        <v>864</v>
      </c>
    </row>
    <row r="107" spans="1:8" x14ac:dyDescent="0.35">
      <c r="A107" s="1">
        <v>45541</v>
      </c>
      <c r="B107" t="s">
        <v>18</v>
      </c>
      <c r="C107" t="s">
        <v>40</v>
      </c>
      <c r="D107" t="s">
        <v>19</v>
      </c>
      <c r="E107">
        <v>19</v>
      </c>
      <c r="F107">
        <v>14570</v>
      </c>
      <c r="G107">
        <v>0</v>
      </c>
      <c r="H107">
        <v>276830</v>
      </c>
    </row>
    <row r="108" spans="1:8" x14ac:dyDescent="0.35">
      <c r="A108" s="1">
        <v>45435</v>
      </c>
      <c r="B108" t="s">
        <v>44</v>
      </c>
      <c r="C108" t="s">
        <v>16</v>
      </c>
      <c r="D108" t="s">
        <v>32</v>
      </c>
      <c r="E108">
        <v>12</v>
      </c>
      <c r="F108">
        <v>2306</v>
      </c>
      <c r="G108">
        <v>0</v>
      </c>
      <c r="H108">
        <v>27672</v>
      </c>
    </row>
    <row r="109" spans="1:8" x14ac:dyDescent="0.35">
      <c r="A109" s="1">
        <v>45408</v>
      </c>
      <c r="B109" t="s">
        <v>31</v>
      </c>
      <c r="C109" t="s">
        <v>16</v>
      </c>
      <c r="D109" t="s">
        <v>17</v>
      </c>
      <c r="E109">
        <v>15</v>
      </c>
      <c r="F109">
        <v>6293</v>
      </c>
      <c r="G109">
        <v>10</v>
      </c>
      <c r="H109">
        <v>84955.5</v>
      </c>
    </row>
    <row r="110" spans="1:8" x14ac:dyDescent="0.35">
      <c r="A110" s="1">
        <v>45470</v>
      </c>
      <c r="B110" t="s">
        <v>22</v>
      </c>
      <c r="C110" t="s">
        <v>16</v>
      </c>
      <c r="D110" t="s">
        <v>17</v>
      </c>
      <c r="E110">
        <v>30</v>
      </c>
      <c r="F110">
        <v>4800</v>
      </c>
      <c r="G110">
        <v>15</v>
      </c>
      <c r="H110">
        <v>122400</v>
      </c>
    </row>
    <row r="111" spans="1:8" x14ac:dyDescent="0.35">
      <c r="A111" s="1">
        <v>45321</v>
      </c>
      <c r="B111" t="s">
        <v>51</v>
      </c>
      <c r="C111" t="s">
        <v>13</v>
      </c>
      <c r="D111" t="s">
        <v>53</v>
      </c>
      <c r="G111">
        <v>15</v>
      </c>
      <c r="H111">
        <v>-18655.8</v>
      </c>
    </row>
    <row r="112" spans="1:8" x14ac:dyDescent="0.35">
      <c r="A112" s="1">
        <v>45591</v>
      </c>
      <c r="B112" t="s">
        <v>39</v>
      </c>
      <c r="C112" t="s">
        <v>20</v>
      </c>
      <c r="D112" t="s">
        <v>19</v>
      </c>
      <c r="E112">
        <v>12</v>
      </c>
      <c r="F112">
        <v>9693</v>
      </c>
      <c r="G112">
        <v>20</v>
      </c>
      <c r="H112">
        <v>93052.800000000003</v>
      </c>
    </row>
    <row r="113" spans="1:8" x14ac:dyDescent="0.35">
      <c r="A113" s="1">
        <v>45296</v>
      </c>
      <c r="B113" t="s">
        <v>12</v>
      </c>
      <c r="C113" t="s">
        <v>20</v>
      </c>
      <c r="D113" t="s">
        <v>32</v>
      </c>
      <c r="E113">
        <v>23</v>
      </c>
      <c r="F113">
        <v>4890</v>
      </c>
      <c r="H113">
        <v>112470</v>
      </c>
    </row>
    <row r="114" spans="1:8" x14ac:dyDescent="0.35">
      <c r="A114" s="1">
        <v>45388</v>
      </c>
      <c r="B114" t="s">
        <v>29</v>
      </c>
      <c r="C114" t="s">
        <v>41</v>
      </c>
      <c r="D114" t="s">
        <v>14</v>
      </c>
      <c r="E114">
        <v>26</v>
      </c>
      <c r="F114">
        <v>2710</v>
      </c>
      <c r="G114">
        <v>10</v>
      </c>
      <c r="H114">
        <v>63414</v>
      </c>
    </row>
    <row r="115" spans="1:8" x14ac:dyDescent="0.35">
      <c r="A115" s="1">
        <v>45557</v>
      </c>
      <c r="B115" t="s">
        <v>26</v>
      </c>
      <c r="C115" t="s">
        <v>20</v>
      </c>
      <c r="D115" t="s">
        <v>14</v>
      </c>
      <c r="E115">
        <v>5</v>
      </c>
      <c r="G115">
        <v>10</v>
      </c>
      <c r="H115">
        <v>12969</v>
      </c>
    </row>
    <row r="116" spans="1:8" x14ac:dyDescent="0.35">
      <c r="A116" s="1">
        <v>45320</v>
      </c>
      <c r="B116" t="s">
        <v>57</v>
      </c>
      <c r="C116" t="s">
        <v>36</v>
      </c>
      <c r="D116" t="s">
        <v>23</v>
      </c>
      <c r="E116">
        <v>1</v>
      </c>
      <c r="F116">
        <v>48368</v>
      </c>
      <c r="G116">
        <v>15</v>
      </c>
      <c r="H116">
        <v>41112.800000000003</v>
      </c>
    </row>
    <row r="117" spans="1:8" x14ac:dyDescent="0.35">
      <c r="A117" s="1">
        <v>45567</v>
      </c>
      <c r="B117" t="s">
        <v>26</v>
      </c>
      <c r="C117" t="s">
        <v>13</v>
      </c>
      <c r="D117" t="s">
        <v>38</v>
      </c>
      <c r="E117">
        <v>10</v>
      </c>
      <c r="F117">
        <v>24741</v>
      </c>
      <c r="G117">
        <v>5</v>
      </c>
      <c r="H117">
        <v>235039.5</v>
      </c>
    </row>
    <row r="118" spans="1:8" x14ac:dyDescent="0.35">
      <c r="A118" s="1">
        <v>45453</v>
      </c>
      <c r="B118" t="s">
        <v>47</v>
      </c>
      <c r="D118" t="s">
        <v>23</v>
      </c>
      <c r="E118">
        <v>26</v>
      </c>
      <c r="F118">
        <v>52475</v>
      </c>
      <c r="G118">
        <v>10</v>
      </c>
      <c r="H118">
        <v>1227915</v>
      </c>
    </row>
    <row r="119" spans="1:8" x14ac:dyDescent="0.35">
      <c r="A119" s="1">
        <v>45539</v>
      </c>
      <c r="B119" t="s">
        <v>22</v>
      </c>
      <c r="C119" t="s">
        <v>34</v>
      </c>
      <c r="D119" t="s">
        <v>9</v>
      </c>
      <c r="E119">
        <v>28</v>
      </c>
      <c r="F119">
        <v>8967</v>
      </c>
      <c r="G119">
        <v>10</v>
      </c>
      <c r="H119">
        <v>225968.4</v>
      </c>
    </row>
    <row r="120" spans="1:8" x14ac:dyDescent="0.35">
      <c r="A120" s="1">
        <v>45614</v>
      </c>
      <c r="B120" t="s">
        <v>56</v>
      </c>
      <c r="C120" t="s">
        <v>40</v>
      </c>
      <c r="D120" t="s">
        <v>21</v>
      </c>
      <c r="E120">
        <v>16</v>
      </c>
      <c r="F120">
        <v>-242</v>
      </c>
      <c r="G120">
        <v>20</v>
      </c>
      <c r="H120">
        <v>-3097.6</v>
      </c>
    </row>
    <row r="121" spans="1:8" x14ac:dyDescent="0.35">
      <c r="A121" s="1">
        <v>45419</v>
      </c>
      <c r="B121" t="s">
        <v>55</v>
      </c>
      <c r="C121" t="s">
        <v>11</v>
      </c>
      <c r="D121" t="s">
        <v>28</v>
      </c>
      <c r="E121">
        <v>11</v>
      </c>
      <c r="F121">
        <v>3439</v>
      </c>
      <c r="G121">
        <v>0</v>
      </c>
      <c r="H121">
        <v>37829</v>
      </c>
    </row>
    <row r="122" spans="1:8" x14ac:dyDescent="0.35">
      <c r="A122" s="1">
        <v>45566</v>
      </c>
      <c r="B122" t="s">
        <v>10</v>
      </c>
      <c r="C122" t="s">
        <v>40</v>
      </c>
      <c r="D122" t="s">
        <v>14</v>
      </c>
      <c r="E122">
        <v>28</v>
      </c>
      <c r="F122">
        <v>3046</v>
      </c>
      <c r="H122">
        <v>85288</v>
      </c>
    </row>
    <row r="123" spans="1:8" x14ac:dyDescent="0.35">
      <c r="A123" s="1">
        <v>45345</v>
      </c>
      <c r="B123" t="s">
        <v>47</v>
      </c>
      <c r="C123" t="s">
        <v>41</v>
      </c>
      <c r="D123" t="s">
        <v>19</v>
      </c>
      <c r="E123">
        <v>11</v>
      </c>
      <c r="F123">
        <v>9683</v>
      </c>
      <c r="G123">
        <v>0</v>
      </c>
      <c r="H123">
        <v>106513</v>
      </c>
    </row>
    <row r="124" spans="1:8" x14ac:dyDescent="0.35">
      <c r="A124" s="1">
        <v>45615</v>
      </c>
      <c r="B124" t="s">
        <v>56</v>
      </c>
      <c r="C124" t="s">
        <v>20</v>
      </c>
      <c r="D124" t="s">
        <v>38</v>
      </c>
      <c r="E124">
        <v>20</v>
      </c>
      <c r="F124">
        <v>24776</v>
      </c>
      <c r="G124">
        <v>5</v>
      </c>
      <c r="H124">
        <v>470744</v>
      </c>
    </row>
    <row r="125" spans="1:8" x14ac:dyDescent="0.35">
      <c r="A125" s="1">
        <v>45539</v>
      </c>
      <c r="B125" t="s">
        <v>50</v>
      </c>
      <c r="C125" t="s">
        <v>16</v>
      </c>
      <c r="D125" t="s">
        <v>17</v>
      </c>
      <c r="E125">
        <v>10</v>
      </c>
      <c r="F125">
        <v>6208</v>
      </c>
      <c r="G125">
        <v>0</v>
      </c>
      <c r="H125">
        <v>62080</v>
      </c>
    </row>
    <row r="126" spans="1:8" x14ac:dyDescent="0.35">
      <c r="A126" s="1">
        <v>45310</v>
      </c>
      <c r="B126" t="s">
        <v>37</v>
      </c>
      <c r="C126" t="s">
        <v>34</v>
      </c>
      <c r="D126" t="s">
        <v>30</v>
      </c>
      <c r="E126">
        <v>4</v>
      </c>
      <c r="F126">
        <v>416</v>
      </c>
      <c r="G126">
        <v>5</v>
      </c>
      <c r="H126">
        <v>1580.8</v>
      </c>
    </row>
    <row r="127" spans="1:8" x14ac:dyDescent="0.35">
      <c r="A127" s="1">
        <v>45540</v>
      </c>
      <c r="B127" t="s">
        <v>46</v>
      </c>
      <c r="C127" t="s">
        <v>34</v>
      </c>
      <c r="D127" t="s">
        <v>21</v>
      </c>
      <c r="E127">
        <v>23</v>
      </c>
      <c r="F127">
        <v>2799</v>
      </c>
      <c r="G127">
        <v>10</v>
      </c>
      <c r="H127">
        <v>57939.3</v>
      </c>
    </row>
    <row r="128" spans="1:8" x14ac:dyDescent="0.35">
      <c r="A128" s="1">
        <v>45489</v>
      </c>
      <c r="B128" t="s">
        <v>48</v>
      </c>
      <c r="C128" t="s">
        <v>34</v>
      </c>
      <c r="D128" t="s">
        <v>53</v>
      </c>
      <c r="E128">
        <v>25</v>
      </c>
      <c r="F128">
        <v>-31</v>
      </c>
      <c r="G128">
        <v>20</v>
      </c>
      <c r="H128">
        <v>-620</v>
      </c>
    </row>
    <row r="129" spans="1:8" x14ac:dyDescent="0.35">
      <c r="A129" s="1">
        <v>45319</v>
      </c>
      <c r="B129" t="s">
        <v>48</v>
      </c>
      <c r="C129" t="s">
        <v>13</v>
      </c>
      <c r="D129" t="s">
        <v>38</v>
      </c>
      <c r="E129">
        <v>4</v>
      </c>
      <c r="F129">
        <v>24662</v>
      </c>
      <c r="G129">
        <v>10</v>
      </c>
      <c r="H129">
        <v>88783.2</v>
      </c>
    </row>
    <row r="130" spans="1:8" x14ac:dyDescent="0.35">
      <c r="A130" s="1">
        <v>45301</v>
      </c>
      <c r="B130" t="s">
        <v>22</v>
      </c>
      <c r="C130" t="s">
        <v>41</v>
      </c>
      <c r="D130" t="s">
        <v>32</v>
      </c>
      <c r="F130">
        <v>5560</v>
      </c>
      <c r="G130">
        <v>5</v>
      </c>
      <c r="H130">
        <v>137332</v>
      </c>
    </row>
    <row r="131" spans="1:8" x14ac:dyDescent="0.35">
      <c r="A131" s="1">
        <v>45646</v>
      </c>
      <c r="B131" t="s">
        <v>12</v>
      </c>
      <c r="C131" t="s">
        <v>36</v>
      </c>
      <c r="D131" t="s">
        <v>23</v>
      </c>
      <c r="E131">
        <v>3</v>
      </c>
      <c r="F131">
        <v>47115</v>
      </c>
      <c r="G131">
        <v>20</v>
      </c>
      <c r="H131">
        <v>113076</v>
      </c>
    </row>
    <row r="132" spans="1:8" x14ac:dyDescent="0.35">
      <c r="A132" s="1">
        <v>45599</v>
      </c>
      <c r="B132" t="s">
        <v>46</v>
      </c>
      <c r="C132" t="s">
        <v>36</v>
      </c>
      <c r="D132" t="s">
        <v>17</v>
      </c>
      <c r="E132">
        <v>23</v>
      </c>
      <c r="F132">
        <v>3354</v>
      </c>
      <c r="G132">
        <v>5</v>
      </c>
      <c r="H132">
        <v>73284.899999999994</v>
      </c>
    </row>
    <row r="133" spans="1:8" x14ac:dyDescent="0.35">
      <c r="A133" s="1">
        <v>45313</v>
      </c>
      <c r="B133" t="s">
        <v>47</v>
      </c>
      <c r="C133" t="s">
        <v>20</v>
      </c>
      <c r="D133" t="s">
        <v>42</v>
      </c>
      <c r="E133">
        <v>6</v>
      </c>
      <c r="F133">
        <v>20049</v>
      </c>
      <c r="G133">
        <v>5</v>
      </c>
      <c r="H133">
        <v>114279.3</v>
      </c>
    </row>
    <row r="134" spans="1:8" x14ac:dyDescent="0.35">
      <c r="A134" s="1">
        <v>45507</v>
      </c>
      <c r="B134" t="s">
        <v>47</v>
      </c>
      <c r="C134" t="s">
        <v>41</v>
      </c>
      <c r="D134" t="s">
        <v>23</v>
      </c>
      <c r="E134">
        <v>29</v>
      </c>
      <c r="F134">
        <v>49918</v>
      </c>
      <c r="G134">
        <v>20</v>
      </c>
      <c r="H134">
        <v>1158097.6000000001</v>
      </c>
    </row>
    <row r="135" spans="1:8" x14ac:dyDescent="0.35">
      <c r="A135" s="1">
        <v>45584</v>
      </c>
      <c r="B135" t="s">
        <v>39</v>
      </c>
      <c r="C135" t="s">
        <v>25</v>
      </c>
      <c r="D135" t="s">
        <v>32</v>
      </c>
      <c r="E135">
        <v>20</v>
      </c>
      <c r="F135">
        <v>3748</v>
      </c>
      <c r="G135">
        <v>0</v>
      </c>
      <c r="H135">
        <v>74960</v>
      </c>
    </row>
    <row r="136" spans="1:8" x14ac:dyDescent="0.35">
      <c r="A136" s="1">
        <v>45310</v>
      </c>
      <c r="B136" t="s">
        <v>10</v>
      </c>
      <c r="C136" t="s">
        <v>40</v>
      </c>
      <c r="D136" t="s">
        <v>53</v>
      </c>
      <c r="E136">
        <v>12</v>
      </c>
      <c r="F136">
        <v>3568</v>
      </c>
      <c r="G136">
        <v>15</v>
      </c>
      <c r="H136">
        <v>36393.599999999999</v>
      </c>
    </row>
    <row r="137" spans="1:8" x14ac:dyDescent="0.35">
      <c r="A137" s="1">
        <v>45318</v>
      </c>
      <c r="B137" t="s">
        <v>24</v>
      </c>
      <c r="C137" t="s">
        <v>34</v>
      </c>
      <c r="D137" t="s">
        <v>53</v>
      </c>
      <c r="E137">
        <v>5</v>
      </c>
      <c r="F137">
        <v>-1808</v>
      </c>
      <c r="H137">
        <v>-9040</v>
      </c>
    </row>
    <row r="138" spans="1:8" x14ac:dyDescent="0.35">
      <c r="A138" s="1">
        <v>45631</v>
      </c>
      <c r="B138" t="s">
        <v>48</v>
      </c>
      <c r="C138" t="s">
        <v>36</v>
      </c>
      <c r="D138" t="s">
        <v>32</v>
      </c>
      <c r="E138">
        <v>4</v>
      </c>
      <c r="F138">
        <v>2333</v>
      </c>
      <c r="G138">
        <v>10</v>
      </c>
      <c r="H138">
        <v>8398.7999999999993</v>
      </c>
    </row>
    <row r="139" spans="1:8" x14ac:dyDescent="0.35">
      <c r="A139" s="1">
        <v>45613</v>
      </c>
      <c r="B139" t="s">
        <v>27</v>
      </c>
      <c r="C139" t="s">
        <v>16</v>
      </c>
      <c r="D139" t="s">
        <v>9</v>
      </c>
      <c r="E139">
        <v>16</v>
      </c>
      <c r="F139">
        <v>6560</v>
      </c>
      <c r="G139">
        <v>5</v>
      </c>
      <c r="H139">
        <v>99712</v>
      </c>
    </row>
    <row r="140" spans="1:8" x14ac:dyDescent="0.35">
      <c r="A140" s="1">
        <v>45522</v>
      </c>
      <c r="B140" t="s">
        <v>39</v>
      </c>
      <c r="C140" t="s">
        <v>41</v>
      </c>
      <c r="D140" t="s">
        <v>32</v>
      </c>
      <c r="E140">
        <v>15</v>
      </c>
      <c r="F140">
        <v>4727</v>
      </c>
      <c r="G140">
        <v>10</v>
      </c>
      <c r="H140">
        <v>63814.5</v>
      </c>
    </row>
    <row r="141" spans="1:8" x14ac:dyDescent="0.35">
      <c r="A141" s="1">
        <v>45639</v>
      </c>
      <c r="B141" t="s">
        <v>26</v>
      </c>
      <c r="C141" t="s">
        <v>13</v>
      </c>
      <c r="D141" t="s">
        <v>32</v>
      </c>
      <c r="E141">
        <v>6</v>
      </c>
      <c r="G141">
        <v>0</v>
      </c>
      <c r="H141">
        <v>15810</v>
      </c>
    </row>
    <row r="142" spans="1:8" x14ac:dyDescent="0.35">
      <c r="A142" s="1">
        <v>45449</v>
      </c>
      <c r="B142" t="s">
        <v>47</v>
      </c>
      <c r="C142" t="s">
        <v>34</v>
      </c>
      <c r="D142" t="s">
        <v>17</v>
      </c>
      <c r="E142">
        <v>11</v>
      </c>
      <c r="F142">
        <v>4473</v>
      </c>
      <c r="G142">
        <v>15</v>
      </c>
      <c r="H142">
        <v>41822.550000000003</v>
      </c>
    </row>
    <row r="143" spans="1:8" x14ac:dyDescent="0.35">
      <c r="A143" s="1">
        <v>45527</v>
      </c>
      <c r="B143" t="s">
        <v>27</v>
      </c>
      <c r="C143" t="s">
        <v>16</v>
      </c>
      <c r="D143" t="s">
        <v>21</v>
      </c>
      <c r="E143">
        <v>26</v>
      </c>
      <c r="F143">
        <v>4181</v>
      </c>
      <c r="G143">
        <v>10</v>
      </c>
      <c r="H143">
        <v>97835.4</v>
      </c>
    </row>
    <row r="144" spans="1:8" x14ac:dyDescent="0.35">
      <c r="A144" s="1">
        <v>45412</v>
      </c>
      <c r="B144" t="s">
        <v>57</v>
      </c>
      <c r="C144" t="s">
        <v>40</v>
      </c>
      <c r="D144" t="s">
        <v>30</v>
      </c>
      <c r="E144">
        <v>22</v>
      </c>
      <c r="F144">
        <v>-562</v>
      </c>
      <c r="G144">
        <v>0</v>
      </c>
      <c r="H144">
        <v>-12364</v>
      </c>
    </row>
    <row r="145" spans="1:8" x14ac:dyDescent="0.35">
      <c r="A145" s="1">
        <v>45367</v>
      </c>
      <c r="B145" t="s">
        <v>27</v>
      </c>
      <c r="C145" t="s">
        <v>20</v>
      </c>
      <c r="D145" t="s">
        <v>17</v>
      </c>
      <c r="E145">
        <v>29</v>
      </c>
      <c r="F145">
        <v>5188</v>
      </c>
      <c r="G145">
        <v>15</v>
      </c>
      <c r="H145">
        <v>127884.2</v>
      </c>
    </row>
    <row r="146" spans="1:8" x14ac:dyDescent="0.35">
      <c r="A146" s="1">
        <v>45611</v>
      </c>
      <c r="B146" t="s">
        <v>55</v>
      </c>
      <c r="C146" t="s">
        <v>40</v>
      </c>
      <c r="D146" t="s">
        <v>53</v>
      </c>
      <c r="E146">
        <v>30</v>
      </c>
      <c r="F146">
        <v>1222</v>
      </c>
      <c r="G146">
        <v>0</v>
      </c>
      <c r="H146">
        <v>36660</v>
      </c>
    </row>
    <row r="147" spans="1:8" x14ac:dyDescent="0.35">
      <c r="A147" s="1">
        <v>45601</v>
      </c>
      <c r="B147" t="s">
        <v>49</v>
      </c>
      <c r="D147" t="s">
        <v>28</v>
      </c>
      <c r="E147">
        <v>23</v>
      </c>
      <c r="F147">
        <v>6236</v>
      </c>
      <c r="G147">
        <v>15</v>
      </c>
      <c r="H147">
        <v>121913.8</v>
      </c>
    </row>
    <row r="148" spans="1:8" x14ac:dyDescent="0.35">
      <c r="A148" s="1">
        <v>45476</v>
      </c>
      <c r="B148" t="s">
        <v>49</v>
      </c>
      <c r="C148" t="s">
        <v>20</v>
      </c>
      <c r="D148" t="s">
        <v>23</v>
      </c>
      <c r="E148">
        <v>24</v>
      </c>
      <c r="F148">
        <v>48181</v>
      </c>
      <c r="G148">
        <v>0</v>
      </c>
      <c r="H148">
        <v>1156344</v>
      </c>
    </row>
    <row r="149" spans="1:8" x14ac:dyDescent="0.35">
      <c r="A149" s="1">
        <v>45601</v>
      </c>
      <c r="B149" t="s">
        <v>50</v>
      </c>
      <c r="C149" t="s">
        <v>13</v>
      </c>
      <c r="D149" t="s">
        <v>23</v>
      </c>
      <c r="E149">
        <v>21</v>
      </c>
      <c r="F149">
        <v>49766</v>
      </c>
      <c r="H149">
        <v>1045086</v>
      </c>
    </row>
    <row r="150" spans="1:8" x14ac:dyDescent="0.35">
      <c r="A150" s="1">
        <v>45298</v>
      </c>
      <c r="B150" t="s">
        <v>51</v>
      </c>
      <c r="C150" t="s">
        <v>16</v>
      </c>
      <c r="D150" t="s">
        <v>23</v>
      </c>
      <c r="E150">
        <v>6</v>
      </c>
      <c r="F150">
        <v>49740</v>
      </c>
      <c r="G150">
        <v>10</v>
      </c>
      <c r="H150">
        <v>268596</v>
      </c>
    </row>
    <row r="151" spans="1:8" x14ac:dyDescent="0.35">
      <c r="A151" s="1">
        <v>45517</v>
      </c>
      <c r="B151" t="s">
        <v>29</v>
      </c>
      <c r="C151" t="s">
        <v>16</v>
      </c>
      <c r="D151" t="s">
        <v>19</v>
      </c>
      <c r="E151">
        <v>8</v>
      </c>
      <c r="F151">
        <v>14644</v>
      </c>
      <c r="G151">
        <v>10</v>
      </c>
      <c r="H151">
        <v>105436.8</v>
      </c>
    </row>
    <row r="152" spans="1:8" x14ac:dyDescent="0.35">
      <c r="A152" s="1">
        <v>45633</v>
      </c>
      <c r="B152" t="s">
        <v>56</v>
      </c>
      <c r="C152" t="s">
        <v>11</v>
      </c>
      <c r="D152" t="s">
        <v>42</v>
      </c>
      <c r="E152">
        <v>19</v>
      </c>
      <c r="F152">
        <v>20849</v>
      </c>
      <c r="G152">
        <v>0</v>
      </c>
      <c r="H152">
        <v>396131</v>
      </c>
    </row>
    <row r="153" spans="1:8" x14ac:dyDescent="0.35">
      <c r="A153" s="1">
        <v>45494</v>
      </c>
      <c r="B153" t="s">
        <v>58</v>
      </c>
      <c r="C153" t="s">
        <v>13</v>
      </c>
      <c r="D153" t="s">
        <v>9</v>
      </c>
      <c r="E153">
        <v>20</v>
      </c>
      <c r="F153">
        <v>5645</v>
      </c>
      <c r="G153">
        <v>15</v>
      </c>
      <c r="H153">
        <v>95965</v>
      </c>
    </row>
    <row r="154" spans="1:8" x14ac:dyDescent="0.35">
      <c r="A154" s="1">
        <v>45527</v>
      </c>
      <c r="B154" t="s">
        <v>33</v>
      </c>
      <c r="C154" t="s">
        <v>20</v>
      </c>
      <c r="D154" t="s">
        <v>19</v>
      </c>
      <c r="E154">
        <v>5</v>
      </c>
      <c r="F154">
        <v>11028</v>
      </c>
      <c r="H154">
        <v>55140</v>
      </c>
    </row>
    <row r="155" spans="1:8" x14ac:dyDescent="0.35">
      <c r="A155" s="1">
        <v>45401</v>
      </c>
      <c r="B155" t="s">
        <v>39</v>
      </c>
      <c r="C155" t="s">
        <v>11</v>
      </c>
      <c r="D155" t="s">
        <v>21</v>
      </c>
      <c r="E155">
        <v>28</v>
      </c>
      <c r="F155">
        <v>718</v>
      </c>
      <c r="G155">
        <v>15</v>
      </c>
      <c r="H155">
        <v>17088.400000000001</v>
      </c>
    </row>
    <row r="156" spans="1:8" x14ac:dyDescent="0.35">
      <c r="A156" s="1">
        <v>45493</v>
      </c>
      <c r="C156" t="s">
        <v>34</v>
      </c>
      <c r="D156" t="s">
        <v>19</v>
      </c>
      <c r="E156">
        <v>23</v>
      </c>
      <c r="F156">
        <v>10642</v>
      </c>
      <c r="G156">
        <v>5</v>
      </c>
      <c r="H156">
        <v>232527.7</v>
      </c>
    </row>
    <row r="157" spans="1:8" x14ac:dyDescent="0.35">
      <c r="A157" s="1">
        <v>45499</v>
      </c>
      <c r="B157" t="s">
        <v>10</v>
      </c>
      <c r="C157" t="s">
        <v>20</v>
      </c>
      <c r="D157" t="s">
        <v>42</v>
      </c>
      <c r="E157">
        <v>22</v>
      </c>
      <c r="F157">
        <v>22283</v>
      </c>
      <c r="G157">
        <v>10</v>
      </c>
      <c r="H157">
        <v>441203.4</v>
      </c>
    </row>
    <row r="158" spans="1:8" x14ac:dyDescent="0.35">
      <c r="A158" s="1">
        <v>45480</v>
      </c>
      <c r="B158" t="s">
        <v>44</v>
      </c>
      <c r="C158" t="s">
        <v>25</v>
      </c>
      <c r="D158" t="s">
        <v>30</v>
      </c>
      <c r="E158">
        <v>16</v>
      </c>
      <c r="F158">
        <v>-307</v>
      </c>
      <c r="G158">
        <v>5</v>
      </c>
      <c r="H158">
        <v>-4666.3999999999996</v>
      </c>
    </row>
    <row r="159" spans="1:8" x14ac:dyDescent="0.35">
      <c r="A159" s="1">
        <v>45311</v>
      </c>
      <c r="B159" t="s">
        <v>58</v>
      </c>
      <c r="C159" t="s">
        <v>25</v>
      </c>
      <c r="D159" t="s">
        <v>42</v>
      </c>
      <c r="F159">
        <v>20538</v>
      </c>
      <c r="G159">
        <v>10</v>
      </c>
      <c r="H159">
        <v>443620.8</v>
      </c>
    </row>
    <row r="160" spans="1:8" x14ac:dyDescent="0.35">
      <c r="A160" s="1">
        <v>45644</v>
      </c>
      <c r="B160" t="s">
        <v>10</v>
      </c>
      <c r="C160" t="s">
        <v>40</v>
      </c>
      <c r="D160" t="s">
        <v>23</v>
      </c>
      <c r="E160">
        <v>29</v>
      </c>
      <c r="F160">
        <v>52564</v>
      </c>
      <c r="G160">
        <v>20</v>
      </c>
      <c r="H160">
        <v>1219484.8</v>
      </c>
    </row>
    <row r="161" spans="1:8" x14ac:dyDescent="0.35">
      <c r="A161" s="1">
        <v>45383</v>
      </c>
      <c r="B161" t="s">
        <v>47</v>
      </c>
      <c r="C161" t="s">
        <v>40</v>
      </c>
      <c r="D161" t="s">
        <v>30</v>
      </c>
      <c r="E161">
        <v>23</v>
      </c>
      <c r="F161">
        <v>-902</v>
      </c>
      <c r="G161">
        <v>20</v>
      </c>
      <c r="H161">
        <v>-16596.8</v>
      </c>
    </row>
    <row r="162" spans="1:8" x14ac:dyDescent="0.35">
      <c r="A162" s="1">
        <v>45321</v>
      </c>
      <c r="B162" t="s">
        <v>43</v>
      </c>
      <c r="C162" t="s">
        <v>11</v>
      </c>
      <c r="D162" t="s">
        <v>23</v>
      </c>
      <c r="E162">
        <v>2</v>
      </c>
      <c r="F162">
        <v>49988</v>
      </c>
      <c r="G162">
        <v>10</v>
      </c>
      <c r="H162">
        <v>89978.4</v>
      </c>
    </row>
    <row r="163" spans="1:8" x14ac:dyDescent="0.35">
      <c r="A163" s="1">
        <v>45558</v>
      </c>
      <c r="B163" t="s">
        <v>35</v>
      </c>
      <c r="C163" t="s">
        <v>13</v>
      </c>
      <c r="D163" t="s">
        <v>21</v>
      </c>
      <c r="E163">
        <v>23</v>
      </c>
      <c r="F163">
        <v>3376</v>
      </c>
      <c r="H163">
        <v>77648</v>
      </c>
    </row>
    <row r="164" spans="1:8" x14ac:dyDescent="0.35">
      <c r="A164" s="1">
        <v>45467</v>
      </c>
      <c r="B164" t="s">
        <v>8</v>
      </c>
      <c r="C164" t="s">
        <v>16</v>
      </c>
      <c r="D164" t="s">
        <v>32</v>
      </c>
      <c r="E164">
        <v>9</v>
      </c>
      <c r="F164">
        <v>4197</v>
      </c>
      <c r="G164">
        <v>15</v>
      </c>
      <c r="H164">
        <v>32107.05</v>
      </c>
    </row>
    <row r="165" spans="1:8" x14ac:dyDescent="0.35">
      <c r="A165" s="1">
        <v>45507</v>
      </c>
      <c r="B165" t="s">
        <v>31</v>
      </c>
      <c r="C165" t="s">
        <v>40</v>
      </c>
      <c r="D165" t="s">
        <v>53</v>
      </c>
      <c r="E165">
        <v>25</v>
      </c>
      <c r="F165">
        <v>-18</v>
      </c>
      <c r="G165">
        <v>20</v>
      </c>
      <c r="H165">
        <v>-360</v>
      </c>
    </row>
    <row r="166" spans="1:8" x14ac:dyDescent="0.35">
      <c r="A166" s="1">
        <v>45473</v>
      </c>
      <c r="B166" t="s">
        <v>26</v>
      </c>
      <c r="D166" t="s">
        <v>28</v>
      </c>
      <c r="E166">
        <v>20</v>
      </c>
      <c r="F166">
        <v>2940</v>
      </c>
      <c r="H166">
        <v>58800</v>
      </c>
    </row>
    <row r="167" spans="1:8" x14ac:dyDescent="0.35">
      <c r="A167" s="1">
        <v>45300</v>
      </c>
      <c r="B167" t="s">
        <v>37</v>
      </c>
      <c r="C167" t="s">
        <v>41</v>
      </c>
      <c r="D167" t="s">
        <v>9</v>
      </c>
      <c r="E167">
        <v>23</v>
      </c>
      <c r="F167">
        <v>8589</v>
      </c>
      <c r="G167">
        <v>5</v>
      </c>
      <c r="H167">
        <v>187669.65</v>
      </c>
    </row>
    <row r="168" spans="1:8" x14ac:dyDescent="0.35">
      <c r="A168" s="1">
        <v>45558</v>
      </c>
      <c r="B168" t="s">
        <v>58</v>
      </c>
      <c r="C168" t="s">
        <v>40</v>
      </c>
      <c r="D168" t="s">
        <v>53</v>
      </c>
      <c r="E168">
        <v>2</v>
      </c>
      <c r="F168">
        <v>916</v>
      </c>
      <c r="H168">
        <v>1832</v>
      </c>
    </row>
    <row r="169" spans="1:8" x14ac:dyDescent="0.35">
      <c r="A169" s="1">
        <v>45443</v>
      </c>
      <c r="B169" t="s">
        <v>33</v>
      </c>
      <c r="C169" t="s">
        <v>11</v>
      </c>
      <c r="D169" t="s">
        <v>30</v>
      </c>
      <c r="E169">
        <v>25</v>
      </c>
      <c r="F169">
        <v>3489</v>
      </c>
      <c r="G169">
        <v>10</v>
      </c>
      <c r="H169">
        <v>78502.5</v>
      </c>
    </row>
    <row r="170" spans="1:8" x14ac:dyDescent="0.35">
      <c r="A170" s="1">
        <v>45619</v>
      </c>
      <c r="C170" t="s">
        <v>25</v>
      </c>
      <c r="D170" t="s">
        <v>23</v>
      </c>
      <c r="E170">
        <v>7</v>
      </c>
      <c r="F170">
        <v>50161</v>
      </c>
      <c r="G170">
        <v>0</v>
      </c>
      <c r="H170">
        <v>351127</v>
      </c>
    </row>
    <row r="171" spans="1:8" x14ac:dyDescent="0.35">
      <c r="A171" s="1">
        <v>45365</v>
      </c>
      <c r="B171" t="s">
        <v>12</v>
      </c>
      <c r="C171" t="s">
        <v>40</v>
      </c>
      <c r="D171" t="s">
        <v>14</v>
      </c>
      <c r="E171">
        <v>29</v>
      </c>
      <c r="F171">
        <v>3619</v>
      </c>
      <c r="H171">
        <v>104951</v>
      </c>
    </row>
    <row r="172" spans="1:8" x14ac:dyDescent="0.35">
      <c r="A172" s="1">
        <v>45368</v>
      </c>
      <c r="B172" t="s">
        <v>43</v>
      </c>
      <c r="C172" t="s">
        <v>36</v>
      </c>
      <c r="D172" t="s">
        <v>32</v>
      </c>
      <c r="E172">
        <v>23</v>
      </c>
      <c r="F172">
        <v>5533</v>
      </c>
      <c r="G172">
        <v>20</v>
      </c>
      <c r="H172">
        <v>101807.2</v>
      </c>
    </row>
    <row r="173" spans="1:8" x14ac:dyDescent="0.35">
      <c r="A173" s="1">
        <v>45467</v>
      </c>
      <c r="B173" t="s">
        <v>29</v>
      </c>
      <c r="C173" t="s">
        <v>34</v>
      </c>
      <c r="D173" t="s">
        <v>23</v>
      </c>
      <c r="E173">
        <v>20</v>
      </c>
      <c r="F173">
        <v>50838</v>
      </c>
      <c r="G173">
        <v>10</v>
      </c>
      <c r="H173">
        <v>915084</v>
      </c>
    </row>
    <row r="174" spans="1:8" x14ac:dyDescent="0.35">
      <c r="A174" s="1">
        <v>45503</v>
      </c>
      <c r="B174" t="s">
        <v>22</v>
      </c>
      <c r="C174" t="s">
        <v>25</v>
      </c>
      <c r="D174" t="s">
        <v>21</v>
      </c>
      <c r="E174">
        <v>26</v>
      </c>
      <c r="F174">
        <v>4467</v>
      </c>
      <c r="H174">
        <v>116142</v>
      </c>
    </row>
    <row r="175" spans="1:8" x14ac:dyDescent="0.35">
      <c r="A175" s="1">
        <v>45326</v>
      </c>
      <c r="B175" t="s">
        <v>48</v>
      </c>
      <c r="C175" t="s">
        <v>36</v>
      </c>
      <c r="D175" t="s">
        <v>14</v>
      </c>
      <c r="F175">
        <v>-385</v>
      </c>
      <c r="H175">
        <v>-6545</v>
      </c>
    </row>
    <row r="176" spans="1:8" x14ac:dyDescent="0.35">
      <c r="A176" s="1">
        <v>45575</v>
      </c>
      <c r="B176" t="s">
        <v>50</v>
      </c>
      <c r="C176" t="s">
        <v>41</v>
      </c>
      <c r="D176" t="s">
        <v>42</v>
      </c>
      <c r="E176">
        <v>9</v>
      </c>
      <c r="F176">
        <v>19233</v>
      </c>
      <c r="H176">
        <v>173097</v>
      </c>
    </row>
    <row r="177" spans="1:8" x14ac:dyDescent="0.35">
      <c r="A177" s="1">
        <v>45363</v>
      </c>
      <c r="B177" t="s">
        <v>58</v>
      </c>
      <c r="C177" t="s">
        <v>20</v>
      </c>
      <c r="D177" t="s">
        <v>14</v>
      </c>
      <c r="E177">
        <v>2</v>
      </c>
      <c r="F177">
        <v>3750</v>
      </c>
      <c r="G177">
        <v>0</v>
      </c>
      <c r="H177">
        <v>7500</v>
      </c>
    </row>
    <row r="178" spans="1:8" x14ac:dyDescent="0.35">
      <c r="A178" s="1">
        <v>45442</v>
      </c>
      <c r="B178" t="s">
        <v>51</v>
      </c>
      <c r="C178" t="s">
        <v>13</v>
      </c>
      <c r="D178" t="s">
        <v>19</v>
      </c>
      <c r="E178">
        <v>21</v>
      </c>
      <c r="F178">
        <v>13853</v>
      </c>
      <c r="G178">
        <v>20</v>
      </c>
      <c r="H178">
        <v>232730.4</v>
      </c>
    </row>
    <row r="179" spans="1:8" x14ac:dyDescent="0.35">
      <c r="A179" s="1">
        <v>45515</v>
      </c>
      <c r="B179" t="s">
        <v>55</v>
      </c>
      <c r="C179" t="s">
        <v>34</v>
      </c>
      <c r="D179" t="s">
        <v>17</v>
      </c>
      <c r="E179">
        <v>10</v>
      </c>
      <c r="F179">
        <v>527</v>
      </c>
      <c r="H179">
        <v>5270</v>
      </c>
    </row>
    <row r="180" spans="1:8" x14ac:dyDescent="0.35">
      <c r="A180" s="1">
        <v>45561</v>
      </c>
      <c r="B180" t="s">
        <v>29</v>
      </c>
      <c r="C180" t="s">
        <v>41</v>
      </c>
      <c r="D180" t="s">
        <v>17</v>
      </c>
      <c r="E180">
        <v>28</v>
      </c>
      <c r="F180">
        <v>2687</v>
      </c>
      <c r="G180">
        <v>15</v>
      </c>
      <c r="H180">
        <v>63950.6</v>
      </c>
    </row>
    <row r="181" spans="1:8" x14ac:dyDescent="0.35">
      <c r="A181" s="1">
        <v>45570</v>
      </c>
      <c r="B181" t="s">
        <v>55</v>
      </c>
      <c r="C181" t="s">
        <v>16</v>
      </c>
      <c r="D181" t="s">
        <v>9</v>
      </c>
      <c r="E181">
        <v>14</v>
      </c>
      <c r="F181">
        <v>6703</v>
      </c>
      <c r="G181">
        <v>20</v>
      </c>
      <c r="H181">
        <v>75073.600000000006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94"/>
  <sheetViews>
    <sheetView topLeftCell="Q10" workbookViewId="0">
      <selection activeCell="D10" sqref="D10"/>
    </sheetView>
  </sheetViews>
  <sheetFormatPr defaultRowHeight="14.5" x14ac:dyDescent="0.35"/>
  <cols>
    <col min="1" max="1" width="10.08984375" bestFit="1" customWidth="1"/>
    <col min="2" max="2" width="11" customWidth="1"/>
    <col min="3" max="3" width="9.54296875" bestFit="1" customWidth="1"/>
    <col min="4" max="4" width="11.81640625" customWidth="1"/>
    <col min="5" max="5" width="10.1796875" customWidth="1"/>
    <col min="6" max="6" width="10.453125" customWidth="1"/>
    <col min="7" max="7" width="11.6328125" customWidth="1"/>
    <col min="8" max="8" width="11.26953125" customWidth="1"/>
    <col min="9" max="9" width="17.1796875" bestFit="1" customWidth="1"/>
    <col min="10" max="10" width="15" bestFit="1" customWidth="1"/>
    <col min="11" max="11" width="14.54296875" bestFit="1" customWidth="1"/>
    <col min="12" max="12" width="15.26953125" bestFit="1" customWidth="1"/>
    <col min="13" max="13" width="15.54296875" bestFit="1" customWidth="1"/>
    <col min="14" max="14" width="15.36328125" bestFit="1" customWidth="1"/>
    <col min="15" max="15" width="16.453125" bestFit="1" customWidth="1"/>
    <col min="16" max="16" width="10.81640625" bestFit="1" customWidth="1"/>
    <col min="17" max="17" width="12.7265625" bestFit="1" customWidth="1"/>
    <col min="18" max="18" width="18.90625" customWidth="1"/>
    <col min="19" max="19" width="12.6328125" bestFit="1" customWidth="1"/>
    <col min="20" max="20" width="18.90625" customWidth="1"/>
    <col min="21" max="21" width="13" bestFit="1" customWidth="1"/>
    <col min="22" max="22" width="29.7265625" bestFit="1" customWidth="1"/>
    <col min="23" max="23" width="34.90625" customWidth="1"/>
    <col min="24" max="24" width="14.6328125" bestFit="1" customWidth="1"/>
    <col min="25" max="25" width="20" bestFit="1" customWidth="1"/>
    <col min="26" max="26" width="12" bestFit="1" customWidth="1"/>
    <col min="27" max="27" width="26.1796875" customWidth="1"/>
    <col min="28" max="28" width="16.36328125" bestFit="1" customWidth="1"/>
    <col min="29" max="31" width="16.36328125" customWidth="1"/>
    <col min="32" max="32" width="14.26953125" customWidth="1"/>
    <col min="33" max="33" width="26.453125" bestFit="1" customWidth="1"/>
  </cols>
  <sheetData>
    <row r="1" spans="1:35" s="3" customFormat="1" x14ac:dyDescent="0.35">
      <c r="A1" s="3" t="s">
        <v>0</v>
      </c>
      <c r="B1" s="3" t="s">
        <v>1</v>
      </c>
      <c r="C1" s="3" t="s">
        <v>2</v>
      </c>
      <c r="D1" s="3" t="s">
        <v>3</v>
      </c>
      <c r="E1" s="3" t="s">
        <v>4</v>
      </c>
      <c r="F1" s="3" t="s">
        <v>5</v>
      </c>
      <c r="G1" s="3" t="s">
        <v>6</v>
      </c>
      <c r="H1" s="3" t="s">
        <v>7</v>
      </c>
      <c r="I1" s="3" t="s">
        <v>59</v>
      </c>
      <c r="J1" s="3" t="s">
        <v>60</v>
      </c>
      <c r="K1" s="3" t="s">
        <v>61</v>
      </c>
      <c r="L1" s="3" t="s">
        <v>62</v>
      </c>
      <c r="M1" s="3" t="s">
        <v>63</v>
      </c>
      <c r="N1" s="3" t="s">
        <v>64</v>
      </c>
      <c r="O1" s="3" t="s">
        <v>65</v>
      </c>
      <c r="P1" s="3" t="s">
        <v>76</v>
      </c>
      <c r="Q1" s="3" t="s">
        <v>77</v>
      </c>
      <c r="R1" s="3" t="s">
        <v>78</v>
      </c>
      <c r="S1" s="3" t="s">
        <v>87</v>
      </c>
      <c r="U1" s="3" t="s">
        <v>79</v>
      </c>
      <c r="V1" s="3" t="s">
        <v>80</v>
      </c>
      <c r="X1" s="3" t="s">
        <v>81</v>
      </c>
      <c r="Y1" s="3" t="s">
        <v>82</v>
      </c>
      <c r="Z1" s="3" t="s">
        <v>88</v>
      </c>
      <c r="AB1" s="3" t="s">
        <v>83</v>
      </c>
      <c r="AD1" s="3" t="s">
        <v>83</v>
      </c>
      <c r="AF1" s="3" t="s">
        <v>84</v>
      </c>
      <c r="AG1" s="3" t="s">
        <v>85</v>
      </c>
    </row>
    <row r="2" spans="1:35" x14ac:dyDescent="0.35">
      <c r="A2" s="1">
        <v>45607</v>
      </c>
      <c r="B2" t="s">
        <v>8</v>
      </c>
      <c r="D2" t="s">
        <v>9</v>
      </c>
      <c r="E2">
        <v>7</v>
      </c>
      <c r="F2">
        <v>6060</v>
      </c>
      <c r="G2">
        <v>10</v>
      </c>
      <c r="H2">
        <v>38178</v>
      </c>
      <c r="I2" t="str">
        <f>IF(TRIM(CLEAN(B2))="", "Unknown", TRIM(CLEAN(B2)))</f>
        <v>Neha</v>
      </c>
      <c r="J2" t="str">
        <f>IF(TRIM(CLEAN(C2))="", "Unknown", TRIM(CLEAN(C2)))</f>
        <v>Unknown</v>
      </c>
      <c r="K2" t="str">
        <f>IF(TRIM(D2)="","Unknown",TRIM(D2))</f>
        <v>Printer</v>
      </c>
      <c r="L2">
        <f>IF(E2="", 0, IF(E2&lt;0, ABS(E2), E2))</f>
        <v>7</v>
      </c>
      <c r="M2">
        <f>IF(F2="", 0, IF(F2&lt;0, ABS(F2), F2))</f>
        <v>6060</v>
      </c>
      <c r="N2" s="2">
        <f>IF(G2="", 0, IF(G2&lt;0, ABS(G2), G2))</f>
        <v>10</v>
      </c>
      <c r="O2">
        <f>IF(H2="", 0, IF(H2&lt;0, ABS(H2), H2))</f>
        <v>38178</v>
      </c>
      <c r="P2" t="str">
        <f>IF(H2&gt;50000,"High Value","Normal Sale")</f>
        <v>Normal Sale</v>
      </c>
      <c r="Q2" t="str">
        <f>IF(N2=0,"No","Yes")</f>
        <v>Yes</v>
      </c>
      <c r="R2" t="str" cm="1">
        <f t="array" ref="R2">_xlfn.IFS(L2&gt;=20,"Bulk",L2&gt;=10,"Medium",L2&lt;10,"Low")</f>
        <v>Low</v>
      </c>
      <c r="S2" t="str" cm="1">
        <f t="array" ref="S2">_xlfn.IFS(O2&gt;30000,"Premium",30000&lt;O2&gt;10000,"Standard",O2&lt;10000,"Budget")</f>
        <v>Premium</v>
      </c>
      <c r="U2" t="str" cm="1">
        <f t="array" ref="U2:U11">_xlfn.UNIQUE(J2:J181)</f>
        <v>Unknown</v>
      </c>
      <c r="V2">
        <f t="shared" ref="V2:V11" si="0">SUMIF(J2:J181,U2,O2:O181)</f>
        <v>2241373.9499999997</v>
      </c>
      <c r="X2" t="str" cm="1">
        <f t="array" ref="X2:X13">_xlfn.UNIQUE(K2:K181)</f>
        <v>Printer</v>
      </c>
      <c r="Y2">
        <f t="shared" ref="Y2:Y13" si="1">SUMIF(K2:K181,X2,O2:O181)</f>
        <v>2286583.75</v>
      </c>
      <c r="Z2">
        <f>SUMIF(K2:K181,X2,L2:L181)</f>
        <v>282</v>
      </c>
      <c r="AB2" t="str" cm="1">
        <f t="array" ref="AB2:AB32">_xlfn.UNIQUE(I2:I181)</f>
        <v>Neha</v>
      </c>
      <c r="AD2" t="str" cm="1">
        <f t="array" ref="AD2:AD32">_xlfn.UNIQUE(I2:I181)</f>
        <v>Neha</v>
      </c>
      <c r="AF2" t="s">
        <v>8</v>
      </c>
      <c r="AG2" cm="1">
        <f t="array" ref="AG2:AG6">SUMIF(I2:I181,AD2:AD6,O2:O181)</f>
        <v>100692.25</v>
      </c>
      <c r="AI2" t="s">
        <v>74</v>
      </c>
    </row>
    <row r="3" spans="1:35" x14ac:dyDescent="0.35">
      <c r="A3" s="1">
        <v>45403</v>
      </c>
      <c r="B3" t="s">
        <v>10</v>
      </c>
      <c r="C3" t="s">
        <v>11</v>
      </c>
      <c r="D3" t="s">
        <v>9</v>
      </c>
      <c r="E3">
        <v>28</v>
      </c>
      <c r="F3">
        <v>6928</v>
      </c>
      <c r="G3">
        <v>20</v>
      </c>
      <c r="H3">
        <v>155187.20000000001</v>
      </c>
      <c r="I3" t="str">
        <f t="shared" ref="I3:I66" si="2">IF(TRIM(CLEAN(B3))="", "Unknown", TRIM(CLEAN(B3)))</f>
        <v>Preeti</v>
      </c>
      <c r="J3" t="str">
        <f t="shared" ref="J3:J66" si="3">IF(TRIM(CLEAN(C3))="", "Unknown", TRIM(CLEAN(C3)))</f>
        <v>South</v>
      </c>
      <c r="K3" t="str">
        <f t="shared" ref="K3:K66" si="4">IF(TRIM(D3)="","Unknown",TRIM(D3))</f>
        <v>Printer</v>
      </c>
      <c r="L3">
        <f t="shared" ref="L3:L66" si="5">IF(E3="", 0, IF(E3&lt;0, ABS(E3), E3))</f>
        <v>28</v>
      </c>
      <c r="M3">
        <f t="shared" ref="M3:M66" si="6">IF(F3="", 0, IF(F3&lt;0, ABS(F3), F3))</f>
        <v>6928</v>
      </c>
      <c r="N3" s="2">
        <f t="shared" ref="N3:N66" si="7">IF(G3="", 0, IF(G3&lt;0, ABS(G3), G3))</f>
        <v>20</v>
      </c>
      <c r="O3">
        <f t="shared" ref="O3:O66" si="8">IF(H3="", 0, IF(H3&lt;0, ABS(H3), H3))</f>
        <v>155187.20000000001</v>
      </c>
      <c r="P3" t="str">
        <f t="shared" ref="P3:P66" si="9">IF(H3&gt;50000,"High Value","Normal Sale")</f>
        <v>High Value</v>
      </c>
      <c r="Q3" t="str">
        <f t="shared" ref="Q3:Q66" si="10">IF(N3=0,"No","Yes")</f>
        <v>Yes</v>
      </c>
      <c r="R3" t="str" cm="1">
        <f t="array" ref="R3">_xlfn.IFS(L3&gt;=20,"Bulk",L3&gt;=10,"Medium",L3&lt;10,"Low")</f>
        <v>Bulk</v>
      </c>
      <c r="S3" t="str" cm="1">
        <f t="array" ref="S3">_xlfn.IFS(O3&gt;30000,"Premium",30000&lt;O3&gt;10000,"Standard",O3&lt;10000,"Budget")</f>
        <v>Premium</v>
      </c>
      <c r="U3" t="str">
        <v>South</v>
      </c>
      <c r="V3">
        <f t="shared" si="0"/>
        <v>3584302.1999999993</v>
      </c>
      <c r="X3" t="str">
        <v>Mouse</v>
      </c>
      <c r="Y3">
        <f t="shared" si="1"/>
        <v>552907.15</v>
      </c>
      <c r="Z3">
        <f t="shared" ref="Z3:Z13" si="11">SUMIF(K3:K182,X3,L3:L182)</f>
        <v>210</v>
      </c>
      <c r="AB3" t="str">
        <v>Preeti</v>
      </c>
      <c r="AD3" t="str">
        <v>Preeti</v>
      </c>
      <c r="AF3" t="s">
        <v>10</v>
      </c>
      <c r="AG3">
        <v>2012947</v>
      </c>
      <c r="AI3" s="3" cm="1">
        <f t="array" ref="AI3">SUMPRODUCT(L2:L181 * M2:M181)</f>
        <v>32280053</v>
      </c>
    </row>
    <row r="4" spans="1:35" x14ac:dyDescent="0.35">
      <c r="A4" s="1">
        <v>45407</v>
      </c>
      <c r="B4" t="s">
        <v>12</v>
      </c>
      <c r="C4" t="s">
        <v>13</v>
      </c>
      <c r="D4" t="s">
        <v>14</v>
      </c>
      <c r="E4">
        <v>23</v>
      </c>
      <c r="F4">
        <v>1599</v>
      </c>
      <c r="H4">
        <v>36777</v>
      </c>
      <c r="I4" t="str">
        <f t="shared" si="2"/>
        <v>Saanvi</v>
      </c>
      <c r="J4" t="str">
        <f t="shared" si="3"/>
        <v>Northeast</v>
      </c>
      <c r="K4" t="str">
        <f t="shared" si="4"/>
        <v>Mouse</v>
      </c>
      <c r="L4">
        <f t="shared" si="5"/>
        <v>23</v>
      </c>
      <c r="M4">
        <f t="shared" si="6"/>
        <v>1599</v>
      </c>
      <c r="N4" s="2">
        <f t="shared" si="7"/>
        <v>0</v>
      </c>
      <c r="O4">
        <f t="shared" si="8"/>
        <v>36777</v>
      </c>
      <c r="P4" t="str">
        <f t="shared" si="9"/>
        <v>Normal Sale</v>
      </c>
      <c r="Q4" t="str">
        <f t="shared" si="10"/>
        <v>No</v>
      </c>
      <c r="R4" t="str" cm="1">
        <f t="array" ref="R4">_xlfn.IFS(L4&gt;=20,"Bulk",L4&gt;=10,"Medium",L4&lt;10,"Low")</f>
        <v>Bulk</v>
      </c>
      <c r="S4" t="str" cm="1">
        <f t="array" ref="S4">_xlfn.IFS(O4&gt;30000,"Premium",30000&lt;O4&gt;10000,"Standard",O4&lt;10000,"Budget")</f>
        <v>Premium</v>
      </c>
      <c r="U4" t="str">
        <v>Northeast</v>
      </c>
      <c r="V4">
        <f t="shared" si="0"/>
        <v>4071130.3</v>
      </c>
      <c r="X4" t="str">
        <v>Router</v>
      </c>
      <c r="Y4">
        <f t="shared" si="1"/>
        <v>910117</v>
      </c>
      <c r="Z4">
        <f t="shared" si="11"/>
        <v>252</v>
      </c>
      <c r="AB4" t="str">
        <v>Saanvi</v>
      </c>
      <c r="AD4" t="str">
        <v>Saanvi</v>
      </c>
      <c r="AF4" t="s">
        <v>12</v>
      </c>
      <c r="AG4">
        <v>384535.75</v>
      </c>
    </row>
    <row r="5" spans="1:35" x14ac:dyDescent="0.35">
      <c r="A5" s="1">
        <v>45598</v>
      </c>
      <c r="B5" t="s">
        <v>15</v>
      </c>
      <c r="C5" t="s">
        <v>16</v>
      </c>
      <c r="D5" t="s">
        <v>17</v>
      </c>
      <c r="E5">
        <v>24</v>
      </c>
      <c r="F5">
        <v>1477</v>
      </c>
      <c r="G5">
        <v>20</v>
      </c>
      <c r="H5">
        <v>28358.400000000001</v>
      </c>
      <c r="I5" t="str">
        <f t="shared" si="2"/>
        <v>Rahul</v>
      </c>
      <c r="J5" t="str">
        <f t="shared" si="3"/>
        <v>North</v>
      </c>
      <c r="K5" t="str">
        <f t="shared" si="4"/>
        <v>Router</v>
      </c>
      <c r="L5">
        <f t="shared" si="5"/>
        <v>24</v>
      </c>
      <c r="M5">
        <f t="shared" si="6"/>
        <v>1477</v>
      </c>
      <c r="N5" s="2">
        <f t="shared" si="7"/>
        <v>20</v>
      </c>
      <c r="O5">
        <f t="shared" si="8"/>
        <v>28358.400000000001</v>
      </c>
      <c r="P5" t="str">
        <f t="shared" si="9"/>
        <v>Normal Sale</v>
      </c>
      <c r="Q5" t="str">
        <f t="shared" si="10"/>
        <v>Yes</v>
      </c>
      <c r="R5" t="str" cm="1">
        <f t="array" ref="R5">_xlfn.IFS(L5&gt;=20,"Bulk",L5&gt;=10,"Medium",L5&lt;10,"Low")</f>
        <v>Bulk</v>
      </c>
      <c r="S5" t="str" cm="1">
        <f t="array" ref="S5">_xlfn.IFS(O5&gt;30000,"Premium",30000&lt;O5&gt;10000,"Standard",O5&lt;10000,"Budget")</f>
        <v>Standard</v>
      </c>
      <c r="U5" t="str">
        <v>North</v>
      </c>
      <c r="V5">
        <f t="shared" si="0"/>
        <v>1990153.9500000002</v>
      </c>
      <c r="X5" t="str">
        <v>Monitor</v>
      </c>
      <c r="Y5">
        <f t="shared" si="1"/>
        <v>2793786.8</v>
      </c>
      <c r="Z5">
        <f t="shared" si="11"/>
        <v>212</v>
      </c>
      <c r="AB5" t="str">
        <v>Rahul</v>
      </c>
      <c r="AD5" t="str">
        <v>Rahul</v>
      </c>
      <c r="AF5" t="s">
        <v>15</v>
      </c>
      <c r="AG5">
        <v>207144.7</v>
      </c>
      <c r="AI5" t="s">
        <v>75</v>
      </c>
    </row>
    <row r="6" spans="1:35" x14ac:dyDescent="0.35">
      <c r="A6" s="1">
        <v>45501</v>
      </c>
      <c r="B6" t="s">
        <v>18</v>
      </c>
      <c r="D6" t="s">
        <v>19</v>
      </c>
      <c r="E6">
        <v>4</v>
      </c>
      <c r="F6">
        <v>14176</v>
      </c>
      <c r="G6">
        <v>0</v>
      </c>
      <c r="H6">
        <v>56704</v>
      </c>
      <c r="I6" t="str">
        <f t="shared" si="2"/>
        <v>Arjun</v>
      </c>
      <c r="J6" t="str">
        <f t="shared" si="3"/>
        <v>Unknown</v>
      </c>
      <c r="K6" t="str">
        <f t="shared" si="4"/>
        <v>Monitor</v>
      </c>
      <c r="L6">
        <f t="shared" si="5"/>
        <v>4</v>
      </c>
      <c r="M6">
        <f t="shared" si="6"/>
        <v>14176</v>
      </c>
      <c r="N6" s="2">
        <f t="shared" si="7"/>
        <v>0</v>
      </c>
      <c r="O6">
        <f t="shared" si="8"/>
        <v>56704</v>
      </c>
      <c r="P6" t="str">
        <f t="shared" si="9"/>
        <v>High Value</v>
      </c>
      <c r="Q6" t="str">
        <f t="shared" si="10"/>
        <v>No</v>
      </c>
      <c r="R6" t="str" cm="1">
        <f t="array" ref="R6">_xlfn.IFS(L6&gt;=20,"Bulk",L6&gt;=10,"Medium",L6&lt;10,"Low")</f>
        <v>Low</v>
      </c>
      <c r="S6" t="str" cm="1">
        <f t="array" ref="S6">_xlfn.IFS(O6&gt;30000,"Premium",30000&lt;O6&gt;10000,"Standard",O6&lt;10000,"Budget")</f>
        <v>Premium</v>
      </c>
      <c r="U6" t="str">
        <v>Southwest</v>
      </c>
      <c r="V6">
        <f t="shared" si="0"/>
        <v>5433275.7999999998</v>
      </c>
      <c r="X6" t="str">
        <v>Webcam</v>
      </c>
      <c r="Y6">
        <f t="shared" si="1"/>
        <v>696101</v>
      </c>
      <c r="Z6">
        <f t="shared" si="11"/>
        <v>247</v>
      </c>
      <c r="AB6" t="str">
        <v>Arjun</v>
      </c>
      <c r="AD6" t="str">
        <v>Arjun</v>
      </c>
      <c r="AF6" t="s">
        <v>18</v>
      </c>
      <c r="AG6">
        <v>416204.55</v>
      </c>
      <c r="AI6" s="3" cm="1">
        <f t="array" ref="AI6">SUMPRODUCT(L2:L181 * M2:M181 * N2:N181/100)</f>
        <v>2596864.4500000007</v>
      </c>
    </row>
    <row r="7" spans="1:35" x14ac:dyDescent="0.35">
      <c r="A7" s="1">
        <v>45611</v>
      </c>
      <c r="C7" t="s">
        <v>20</v>
      </c>
      <c r="D7" t="s">
        <v>21</v>
      </c>
      <c r="E7">
        <v>10</v>
      </c>
      <c r="F7">
        <v>-49</v>
      </c>
      <c r="G7">
        <v>15</v>
      </c>
      <c r="H7">
        <v>-416.5</v>
      </c>
      <c r="I7" t="str">
        <f t="shared" si="2"/>
        <v>Unknown</v>
      </c>
      <c r="J7" t="str">
        <f t="shared" si="3"/>
        <v>Southwest</v>
      </c>
      <c r="K7" t="str">
        <f t="shared" si="4"/>
        <v>Webcam</v>
      </c>
      <c r="L7">
        <f t="shared" si="5"/>
        <v>10</v>
      </c>
      <c r="M7">
        <f t="shared" si="6"/>
        <v>49</v>
      </c>
      <c r="N7" s="2">
        <f t="shared" si="7"/>
        <v>15</v>
      </c>
      <c r="O7">
        <f t="shared" si="8"/>
        <v>416.5</v>
      </c>
      <c r="P7" t="str">
        <f t="shared" si="9"/>
        <v>Normal Sale</v>
      </c>
      <c r="Q7" t="str">
        <f t="shared" si="10"/>
        <v>Yes</v>
      </c>
      <c r="R7" t="str" cm="1">
        <f t="array" ref="R7">_xlfn.IFS(L7&gt;=20,"Bulk",L7&gt;=10,"Medium",L7&lt;10,"Low")</f>
        <v>Medium</v>
      </c>
      <c r="S7" t="str" cm="1">
        <f t="array" ref="S7">_xlfn.IFS(O7&gt;30000,"Premium",30000&lt;O7&gt;10000,"Standard",O7&lt;10000,"Budget")</f>
        <v>Standard</v>
      </c>
      <c r="U7" t="str">
        <v>Northwest</v>
      </c>
      <c r="V7">
        <f t="shared" si="0"/>
        <v>3248425.5999999996</v>
      </c>
      <c r="X7" t="str">
        <v>Laptop</v>
      </c>
      <c r="Y7">
        <f t="shared" si="1"/>
        <v>14717019</v>
      </c>
      <c r="Z7">
        <f t="shared" si="11"/>
        <v>321</v>
      </c>
      <c r="AB7" t="str">
        <v>Unknown</v>
      </c>
      <c r="AD7" t="str">
        <v>Unknown</v>
      </c>
      <c r="AG7" s="3">
        <f>SUM(_xlfn.ANCHORARRAY(AG2))</f>
        <v>3121524.25</v>
      </c>
    </row>
    <row r="8" spans="1:35" x14ac:dyDescent="0.35">
      <c r="A8" s="1">
        <v>45419</v>
      </c>
      <c r="B8" t="s">
        <v>10</v>
      </c>
      <c r="C8" t="s">
        <v>16</v>
      </c>
      <c r="D8" t="s">
        <v>21</v>
      </c>
      <c r="E8">
        <v>15</v>
      </c>
      <c r="H8">
        <v>75390</v>
      </c>
      <c r="I8" t="str">
        <f t="shared" si="2"/>
        <v>Preeti</v>
      </c>
      <c r="J8" t="str">
        <f t="shared" si="3"/>
        <v>North</v>
      </c>
      <c r="K8" t="str">
        <f t="shared" si="4"/>
        <v>Webcam</v>
      </c>
      <c r="L8">
        <f t="shared" si="5"/>
        <v>15</v>
      </c>
      <c r="M8">
        <f t="shared" si="6"/>
        <v>0</v>
      </c>
      <c r="N8" s="2">
        <f t="shared" si="7"/>
        <v>0</v>
      </c>
      <c r="O8">
        <f t="shared" si="8"/>
        <v>75390</v>
      </c>
      <c r="P8" t="str">
        <f t="shared" si="9"/>
        <v>High Value</v>
      </c>
      <c r="Q8" t="str">
        <f t="shared" si="10"/>
        <v>No</v>
      </c>
      <c r="R8" t="str" cm="1">
        <f t="array" ref="R8">_xlfn.IFS(L8&gt;=20,"Bulk",L8&gt;=10,"Medium",L8&lt;10,"Low")</f>
        <v>Medium</v>
      </c>
      <c r="S8" t="str" cm="1">
        <f t="array" ref="S8">_xlfn.IFS(O8&gt;30000,"Premium",30000&lt;O8&gt;10000,"Standard",O8&lt;10000,"Budget")</f>
        <v>Premium</v>
      </c>
      <c r="U8" t="str">
        <v>East</v>
      </c>
      <c r="V8">
        <f t="shared" si="0"/>
        <v>4094539.7499999995</v>
      </c>
      <c r="X8" t="str">
        <v>Speaker</v>
      </c>
      <c r="Y8">
        <f t="shared" si="1"/>
        <v>864749.90000000014</v>
      </c>
      <c r="Z8">
        <f t="shared" si="11"/>
        <v>230</v>
      </c>
      <c r="AB8" t="str">
        <v>Aarav</v>
      </c>
      <c r="AD8" t="str">
        <v>Aarav</v>
      </c>
      <c r="AI8" t="s">
        <v>86</v>
      </c>
    </row>
    <row r="9" spans="1:35" x14ac:dyDescent="0.35">
      <c r="A9" s="1">
        <v>45330</v>
      </c>
      <c r="B9" t="s">
        <v>22</v>
      </c>
      <c r="C9" t="s">
        <v>13</v>
      </c>
      <c r="D9" t="s">
        <v>23</v>
      </c>
      <c r="E9">
        <v>16</v>
      </c>
      <c r="F9">
        <v>52159</v>
      </c>
      <c r="G9">
        <v>0</v>
      </c>
      <c r="H9">
        <v>834544</v>
      </c>
      <c r="I9" t="str">
        <f t="shared" si="2"/>
        <v>Aarav</v>
      </c>
      <c r="J9" t="str">
        <f t="shared" si="3"/>
        <v>Northeast</v>
      </c>
      <c r="K9" t="str">
        <f t="shared" si="4"/>
        <v>Laptop</v>
      </c>
      <c r="L9">
        <f t="shared" si="5"/>
        <v>16</v>
      </c>
      <c r="M9">
        <f t="shared" si="6"/>
        <v>52159</v>
      </c>
      <c r="N9" s="2">
        <f t="shared" si="7"/>
        <v>0</v>
      </c>
      <c r="O9">
        <f t="shared" si="8"/>
        <v>834544</v>
      </c>
      <c r="P9" t="str">
        <f t="shared" si="9"/>
        <v>High Value</v>
      </c>
      <c r="Q9" t="str">
        <f t="shared" si="10"/>
        <v>No</v>
      </c>
      <c r="R9" t="str" cm="1">
        <f t="array" ref="R9">_xlfn.IFS(L9&gt;=20,"Bulk",L9&gt;=10,"Medium",L9&lt;10,"Low")</f>
        <v>Medium</v>
      </c>
      <c r="S9" t="str" cm="1">
        <f t="array" ref="S9">_xlfn.IFS(O9&gt;30000,"Premium",30000&lt;O9&gt;10000,"Standard",O9&lt;10000,"Budget")</f>
        <v>Premium</v>
      </c>
      <c r="U9" t="str">
        <v>West</v>
      </c>
      <c r="V9">
        <f t="shared" si="0"/>
        <v>1368787.1</v>
      </c>
      <c r="X9" t="str">
        <v>Keyboard</v>
      </c>
      <c r="Y9">
        <f t="shared" si="1"/>
        <v>368551.95</v>
      </c>
      <c r="Z9">
        <f t="shared" si="11"/>
        <v>181</v>
      </c>
      <c r="AB9" t="str">
        <v>Sourav</v>
      </c>
      <c r="AD9" t="str">
        <v>Sourav</v>
      </c>
      <c r="AI9" s="3">
        <f>AVERAGEIF(K2:K181,"Monitor",N2:N181)</f>
        <v>4.7058823529411766</v>
      </c>
    </row>
    <row r="10" spans="1:35" x14ac:dyDescent="0.35">
      <c r="A10" s="1">
        <v>45382</v>
      </c>
      <c r="B10" t="s">
        <v>24</v>
      </c>
      <c r="C10" t="s">
        <v>25</v>
      </c>
      <c r="D10" t="s">
        <v>9</v>
      </c>
      <c r="E10">
        <v>19</v>
      </c>
      <c r="F10">
        <v>10321</v>
      </c>
      <c r="G10">
        <v>10</v>
      </c>
      <c r="H10">
        <v>176489.1</v>
      </c>
      <c r="I10" t="str">
        <f t="shared" si="2"/>
        <v>Sourav</v>
      </c>
      <c r="J10" t="str">
        <f t="shared" si="3"/>
        <v>Northwest</v>
      </c>
      <c r="K10" t="str">
        <f t="shared" si="4"/>
        <v>Printer</v>
      </c>
      <c r="L10">
        <f t="shared" si="5"/>
        <v>19</v>
      </c>
      <c r="M10">
        <f t="shared" si="6"/>
        <v>10321</v>
      </c>
      <c r="N10" s="2">
        <f t="shared" si="7"/>
        <v>10</v>
      </c>
      <c r="O10">
        <f t="shared" si="8"/>
        <v>176489.1</v>
      </c>
      <c r="P10" t="str">
        <f t="shared" si="9"/>
        <v>High Value</v>
      </c>
      <c r="Q10" t="str">
        <f t="shared" si="10"/>
        <v>Yes</v>
      </c>
      <c r="R10" t="str" cm="1">
        <f t="array" ref="R10">_xlfn.IFS(L10&gt;=20,"Bulk",L10&gt;=10,"Medium",L10&lt;10,"Low")</f>
        <v>Medium</v>
      </c>
      <c r="S10" t="str" cm="1">
        <f t="array" ref="S10">_xlfn.IFS(O10&gt;30000,"Premium",30000&lt;O10&gt;10000,"Standard",O10&lt;10000,"Budget")</f>
        <v>Premium</v>
      </c>
      <c r="U10" t="str">
        <v>Central</v>
      </c>
      <c r="V10">
        <f t="shared" si="0"/>
        <v>2384943.5499999998</v>
      </c>
      <c r="X10" t="str">
        <v>Headphones</v>
      </c>
      <c r="Y10">
        <f t="shared" si="1"/>
        <v>804927.60000000009</v>
      </c>
      <c r="Z10">
        <f t="shared" si="11"/>
        <v>227</v>
      </c>
      <c r="AB10" t="str">
        <v>Kabir</v>
      </c>
      <c r="AD10" t="str">
        <v>Kabir</v>
      </c>
    </row>
    <row r="11" spans="1:35" x14ac:dyDescent="0.35">
      <c r="A11" s="1">
        <v>45302</v>
      </c>
      <c r="B11" t="s">
        <v>26</v>
      </c>
      <c r="C11" t="s">
        <v>25</v>
      </c>
      <c r="D11" t="s">
        <v>17</v>
      </c>
      <c r="E11">
        <v>7</v>
      </c>
      <c r="F11">
        <v>6405</v>
      </c>
      <c r="H11">
        <v>44835</v>
      </c>
      <c r="I11" t="str">
        <f t="shared" si="2"/>
        <v>Kabir</v>
      </c>
      <c r="J11" t="str">
        <f t="shared" si="3"/>
        <v>Northwest</v>
      </c>
      <c r="K11" t="str">
        <f t="shared" si="4"/>
        <v>Router</v>
      </c>
      <c r="L11">
        <f t="shared" si="5"/>
        <v>7</v>
      </c>
      <c r="M11">
        <f t="shared" si="6"/>
        <v>6405</v>
      </c>
      <c r="N11" s="2">
        <f t="shared" si="7"/>
        <v>0</v>
      </c>
      <c r="O11">
        <f t="shared" si="8"/>
        <v>44835</v>
      </c>
      <c r="P11" t="str">
        <f t="shared" si="9"/>
        <v>Normal Sale</v>
      </c>
      <c r="Q11" t="str">
        <f t="shared" si="10"/>
        <v>No</v>
      </c>
      <c r="R11" t="str" cm="1">
        <f t="array" ref="R11">_xlfn.IFS(L11&gt;=20,"Bulk",L11&gt;=10,"Medium",L11&lt;10,"Low")</f>
        <v>Low</v>
      </c>
      <c r="S11" t="str" cm="1">
        <f t="array" ref="S11">_xlfn.IFS(O11&gt;30000,"Premium",30000&lt;O11&gt;10000,"Standard",O11&lt;10000,"Budget")</f>
        <v>Premium</v>
      </c>
      <c r="U11" t="str">
        <v>Southeast</v>
      </c>
      <c r="V11">
        <f t="shared" si="0"/>
        <v>3028563.05</v>
      </c>
      <c r="X11" t="str">
        <v>Smartphone</v>
      </c>
      <c r="Y11">
        <f t="shared" si="1"/>
        <v>2939493.8500000006</v>
      </c>
      <c r="Z11">
        <f t="shared" si="11"/>
        <v>133</v>
      </c>
      <c r="AB11" t="str">
        <v>Lakshmi</v>
      </c>
      <c r="AD11" t="str">
        <v>Lakshmi</v>
      </c>
    </row>
    <row r="12" spans="1:35" x14ac:dyDescent="0.35">
      <c r="A12" s="1">
        <v>45607</v>
      </c>
      <c r="B12" t="s">
        <v>27</v>
      </c>
      <c r="C12" t="s">
        <v>13</v>
      </c>
      <c r="D12" t="s">
        <v>28</v>
      </c>
      <c r="E12">
        <v>3</v>
      </c>
      <c r="F12">
        <v>1185</v>
      </c>
      <c r="G12">
        <v>15</v>
      </c>
      <c r="H12">
        <v>3021.75</v>
      </c>
      <c r="I12" t="str">
        <f t="shared" si="2"/>
        <v>Lakshmi</v>
      </c>
      <c r="J12" t="str">
        <f t="shared" si="3"/>
        <v>Northeast</v>
      </c>
      <c r="K12" t="str">
        <f t="shared" si="4"/>
        <v>Speaker</v>
      </c>
      <c r="L12">
        <f t="shared" si="5"/>
        <v>3</v>
      </c>
      <c r="M12">
        <f t="shared" si="6"/>
        <v>1185</v>
      </c>
      <c r="N12" s="2">
        <f t="shared" si="7"/>
        <v>15</v>
      </c>
      <c r="O12">
        <f t="shared" si="8"/>
        <v>3021.75</v>
      </c>
      <c r="P12" t="str">
        <f t="shared" si="9"/>
        <v>Normal Sale</v>
      </c>
      <c r="Q12" t="str">
        <f t="shared" si="10"/>
        <v>Yes</v>
      </c>
      <c r="R12" t="str" cm="1">
        <f t="array" ref="R12">_xlfn.IFS(L12&gt;=20,"Bulk",L12&gt;=10,"Medium",L12&lt;10,"Low")</f>
        <v>Low</v>
      </c>
      <c r="S12" t="str" cm="1">
        <f t="array" ref="S12">_xlfn.IFS(O12&gt;30000,"Premium",30000&lt;O12&gt;10000,"Standard",O12&lt;10000,"Budget")</f>
        <v>Standard</v>
      </c>
      <c r="X12" t="str">
        <v>Tablet</v>
      </c>
      <c r="Y12">
        <f t="shared" si="1"/>
        <v>4093454.9499999997</v>
      </c>
      <c r="Z12">
        <f t="shared" si="11"/>
        <v>175</v>
      </c>
      <c r="AB12" t="str">
        <v>Mihir</v>
      </c>
      <c r="AD12" t="str">
        <v>Mihir</v>
      </c>
    </row>
    <row r="13" spans="1:35" x14ac:dyDescent="0.35">
      <c r="A13" s="1">
        <v>45645</v>
      </c>
      <c r="B13" t="s">
        <v>29</v>
      </c>
      <c r="C13" t="s">
        <v>20</v>
      </c>
      <c r="D13" t="s">
        <v>30</v>
      </c>
      <c r="E13">
        <v>15</v>
      </c>
      <c r="F13">
        <v>1387</v>
      </c>
      <c r="G13">
        <v>15</v>
      </c>
      <c r="H13">
        <v>17684.25</v>
      </c>
      <c r="I13" t="str">
        <f t="shared" si="2"/>
        <v>Mihir</v>
      </c>
      <c r="J13" t="str">
        <f t="shared" si="3"/>
        <v>Southwest</v>
      </c>
      <c r="K13" t="str">
        <f t="shared" si="4"/>
        <v>Keyboard</v>
      </c>
      <c r="L13">
        <f t="shared" si="5"/>
        <v>15</v>
      </c>
      <c r="M13">
        <f t="shared" si="6"/>
        <v>1387</v>
      </c>
      <c r="N13" s="2">
        <f t="shared" si="7"/>
        <v>15</v>
      </c>
      <c r="O13">
        <f t="shared" si="8"/>
        <v>17684.25</v>
      </c>
      <c r="P13" t="str">
        <f t="shared" si="9"/>
        <v>Normal Sale</v>
      </c>
      <c r="Q13" t="str">
        <f t="shared" si="10"/>
        <v>Yes</v>
      </c>
      <c r="R13" t="str" cm="1">
        <f t="array" ref="R13">_xlfn.IFS(L13&gt;=20,"Bulk",L13&gt;=10,"Medium",L13&lt;10,"Low")</f>
        <v>Medium</v>
      </c>
      <c r="S13" t="str" cm="1">
        <f t="array" ref="S13">_xlfn.IFS(O13&gt;30000,"Premium",30000&lt;O13&gt;10000,"Standard",O13&lt;10000,"Budget")</f>
        <v>Standard</v>
      </c>
      <c r="X13" t="str">
        <v>Charger</v>
      </c>
      <c r="Y13">
        <f t="shared" si="1"/>
        <v>417802.29999999993</v>
      </c>
      <c r="Z13">
        <f t="shared" si="11"/>
        <v>261</v>
      </c>
      <c r="AB13" t="str">
        <v>Rhea</v>
      </c>
      <c r="AD13" t="str">
        <v>Rhea</v>
      </c>
    </row>
    <row r="14" spans="1:35" x14ac:dyDescent="0.35">
      <c r="A14" s="1">
        <v>45530</v>
      </c>
      <c r="B14" t="s">
        <v>31</v>
      </c>
      <c r="C14" t="s">
        <v>16</v>
      </c>
      <c r="D14" t="s">
        <v>28</v>
      </c>
      <c r="E14">
        <v>24</v>
      </c>
      <c r="F14">
        <v>1672</v>
      </c>
      <c r="G14">
        <v>20</v>
      </c>
      <c r="H14">
        <v>32102.400000000001</v>
      </c>
      <c r="I14" t="str">
        <f t="shared" si="2"/>
        <v>Rhea</v>
      </c>
      <c r="J14" t="str">
        <f t="shared" si="3"/>
        <v>North</v>
      </c>
      <c r="K14" t="str">
        <f t="shared" si="4"/>
        <v>Speaker</v>
      </c>
      <c r="L14">
        <f t="shared" si="5"/>
        <v>24</v>
      </c>
      <c r="M14">
        <f t="shared" si="6"/>
        <v>1672</v>
      </c>
      <c r="N14" s="2">
        <f t="shared" si="7"/>
        <v>20</v>
      </c>
      <c r="O14">
        <f t="shared" si="8"/>
        <v>32102.400000000001</v>
      </c>
      <c r="P14" t="str">
        <f t="shared" si="9"/>
        <v>Normal Sale</v>
      </c>
      <c r="Q14" t="str">
        <f t="shared" si="10"/>
        <v>Yes</v>
      </c>
      <c r="R14" t="str" cm="1">
        <f t="array" ref="R14">_xlfn.IFS(L14&gt;=20,"Bulk",L14&gt;=10,"Medium",L14&lt;10,"Low")</f>
        <v>Bulk</v>
      </c>
      <c r="S14" t="str" cm="1">
        <f t="array" ref="S14">_xlfn.IFS(O14&gt;30000,"Premium",30000&lt;O14&gt;10000,"Standard",O14&lt;10000,"Budget")</f>
        <v>Premium</v>
      </c>
      <c r="AB14" t="str">
        <v>Siddharth</v>
      </c>
      <c r="AD14" t="str">
        <v>Siddharth</v>
      </c>
    </row>
    <row r="15" spans="1:35" x14ac:dyDescent="0.35">
      <c r="A15" s="1">
        <v>45629</v>
      </c>
      <c r="B15" t="s">
        <v>24</v>
      </c>
      <c r="C15" t="s">
        <v>16</v>
      </c>
      <c r="D15" t="s">
        <v>32</v>
      </c>
      <c r="E15">
        <v>27</v>
      </c>
      <c r="F15">
        <v>1079</v>
      </c>
      <c r="G15">
        <v>10</v>
      </c>
      <c r="H15">
        <v>26219.7</v>
      </c>
      <c r="I15" t="str">
        <f t="shared" si="2"/>
        <v>Sourav</v>
      </c>
      <c r="J15" t="str">
        <f t="shared" si="3"/>
        <v>North</v>
      </c>
      <c r="K15" t="str">
        <f t="shared" si="4"/>
        <v>Headphones</v>
      </c>
      <c r="L15">
        <f t="shared" si="5"/>
        <v>27</v>
      </c>
      <c r="M15">
        <f t="shared" si="6"/>
        <v>1079</v>
      </c>
      <c r="N15" s="2">
        <f t="shared" si="7"/>
        <v>10</v>
      </c>
      <c r="O15">
        <f t="shared" si="8"/>
        <v>26219.7</v>
      </c>
      <c r="P15" t="str">
        <f t="shared" si="9"/>
        <v>Normal Sale</v>
      </c>
      <c r="Q15" t="str">
        <f t="shared" si="10"/>
        <v>Yes</v>
      </c>
      <c r="R15" t="str" cm="1">
        <f t="array" ref="R15">_xlfn.IFS(L15&gt;=20,"Bulk",L15&gt;=10,"Medium",L15&lt;10,"Low")</f>
        <v>Bulk</v>
      </c>
      <c r="S15" t="str" cm="1">
        <f t="array" ref="S15">_xlfn.IFS(O15&gt;30000,"Premium",30000&lt;O15&gt;10000,"Standard",O15&lt;10000,"Budget")</f>
        <v>Standard</v>
      </c>
      <c r="AB15" t="str">
        <v>Aisha</v>
      </c>
      <c r="AD15" t="str">
        <v>Aisha</v>
      </c>
    </row>
    <row r="16" spans="1:35" x14ac:dyDescent="0.35">
      <c r="A16" s="1">
        <v>45634</v>
      </c>
      <c r="B16" t="s">
        <v>33</v>
      </c>
      <c r="D16" t="s">
        <v>9</v>
      </c>
      <c r="E16">
        <v>20</v>
      </c>
      <c r="F16">
        <v>10859</v>
      </c>
      <c r="G16">
        <v>15</v>
      </c>
      <c r="H16">
        <v>184603</v>
      </c>
      <c r="I16" t="str">
        <f t="shared" si="2"/>
        <v>Siddharth</v>
      </c>
      <c r="J16" t="str">
        <f t="shared" si="3"/>
        <v>Unknown</v>
      </c>
      <c r="K16" t="str">
        <f t="shared" si="4"/>
        <v>Printer</v>
      </c>
      <c r="L16">
        <f t="shared" si="5"/>
        <v>20</v>
      </c>
      <c r="M16">
        <f t="shared" si="6"/>
        <v>10859</v>
      </c>
      <c r="N16" s="2">
        <f t="shared" si="7"/>
        <v>15</v>
      </c>
      <c r="O16">
        <f t="shared" si="8"/>
        <v>184603</v>
      </c>
      <c r="P16" t="str">
        <f t="shared" si="9"/>
        <v>High Value</v>
      </c>
      <c r="Q16" t="str">
        <f t="shared" si="10"/>
        <v>Yes</v>
      </c>
      <c r="R16" t="str" cm="1">
        <f t="array" ref="R16">_xlfn.IFS(L16&gt;=20,"Bulk",L16&gt;=10,"Medium",L16&lt;10,"Low")</f>
        <v>Bulk</v>
      </c>
      <c r="S16" t="str" cm="1">
        <f t="array" ref="S16">_xlfn.IFS(O16&gt;30000,"Premium",30000&lt;O16&gt;10000,"Standard",O16&lt;10000,"Budget")</f>
        <v>Premium</v>
      </c>
      <c r="AB16" t="str">
        <v>Ishita</v>
      </c>
      <c r="AD16" t="str">
        <v>Ishita</v>
      </c>
    </row>
    <row r="17" spans="1:30" x14ac:dyDescent="0.35">
      <c r="A17" s="1">
        <v>45602</v>
      </c>
      <c r="B17" t="s">
        <v>15</v>
      </c>
      <c r="C17" t="s">
        <v>34</v>
      </c>
      <c r="D17" t="s">
        <v>32</v>
      </c>
      <c r="E17">
        <v>16</v>
      </c>
      <c r="F17">
        <v>3785</v>
      </c>
      <c r="G17">
        <v>0</v>
      </c>
      <c r="H17">
        <v>60560</v>
      </c>
      <c r="I17" t="str">
        <f t="shared" si="2"/>
        <v>Rahul</v>
      </c>
      <c r="J17" t="str">
        <f t="shared" si="3"/>
        <v>East</v>
      </c>
      <c r="K17" t="str">
        <f t="shared" si="4"/>
        <v>Headphones</v>
      </c>
      <c r="L17">
        <f t="shared" si="5"/>
        <v>16</v>
      </c>
      <c r="M17">
        <f t="shared" si="6"/>
        <v>3785</v>
      </c>
      <c r="N17" s="2">
        <f t="shared" si="7"/>
        <v>0</v>
      </c>
      <c r="O17">
        <f t="shared" si="8"/>
        <v>60560</v>
      </c>
      <c r="P17" t="str">
        <f t="shared" si="9"/>
        <v>High Value</v>
      </c>
      <c r="Q17" t="str">
        <f t="shared" si="10"/>
        <v>No</v>
      </c>
      <c r="R17" t="str" cm="1">
        <f t="array" ref="R17">_xlfn.IFS(L17&gt;=20,"Bulk",L17&gt;=10,"Medium",L17&lt;10,"Low")</f>
        <v>Medium</v>
      </c>
      <c r="S17" t="str" cm="1">
        <f t="array" ref="S17">_xlfn.IFS(O17&gt;30000,"Premium",30000&lt;O17&gt;10000,"Standard",O17&lt;10000,"Budget")</f>
        <v>Premium</v>
      </c>
      <c r="AB17" t="str">
        <v>Karan</v>
      </c>
      <c r="AD17" t="str">
        <v>Karan</v>
      </c>
    </row>
    <row r="18" spans="1:30" x14ac:dyDescent="0.35">
      <c r="A18" s="1">
        <v>45394</v>
      </c>
      <c r="B18" t="s">
        <v>35</v>
      </c>
      <c r="C18" t="s">
        <v>36</v>
      </c>
      <c r="D18" t="s">
        <v>28</v>
      </c>
      <c r="E18">
        <v>11</v>
      </c>
      <c r="F18">
        <v>5025</v>
      </c>
      <c r="G18">
        <v>5</v>
      </c>
      <c r="H18">
        <v>52511.25</v>
      </c>
      <c r="I18" t="str">
        <f t="shared" si="2"/>
        <v>Aisha</v>
      </c>
      <c r="J18" t="str">
        <f t="shared" si="3"/>
        <v>West</v>
      </c>
      <c r="K18" t="str">
        <f t="shared" si="4"/>
        <v>Speaker</v>
      </c>
      <c r="L18">
        <f t="shared" si="5"/>
        <v>11</v>
      </c>
      <c r="M18">
        <f t="shared" si="6"/>
        <v>5025</v>
      </c>
      <c r="N18" s="2">
        <f t="shared" si="7"/>
        <v>5</v>
      </c>
      <c r="O18">
        <f t="shared" si="8"/>
        <v>52511.25</v>
      </c>
      <c r="P18" t="str">
        <f t="shared" si="9"/>
        <v>High Value</v>
      </c>
      <c r="Q18" t="str">
        <f t="shared" si="10"/>
        <v>Yes</v>
      </c>
      <c r="R18" t="str" cm="1">
        <f t="array" ref="R18">_xlfn.IFS(L18&gt;=20,"Bulk",L18&gt;=10,"Medium",L18&lt;10,"Low")</f>
        <v>Medium</v>
      </c>
      <c r="S18" t="str" cm="1">
        <f t="array" ref="S18">_xlfn.IFS(O18&gt;30000,"Premium",30000&lt;O18&gt;10000,"Standard",O18&lt;10000,"Budget")</f>
        <v>Premium</v>
      </c>
      <c r="AB18" t="str">
        <v>Nisha</v>
      </c>
      <c r="AD18" t="str">
        <v>Nisha</v>
      </c>
    </row>
    <row r="19" spans="1:30" x14ac:dyDescent="0.35">
      <c r="A19" s="1">
        <v>45494</v>
      </c>
      <c r="B19" t="s">
        <v>37</v>
      </c>
      <c r="C19" t="s">
        <v>34</v>
      </c>
      <c r="D19" t="s">
        <v>9</v>
      </c>
      <c r="E19">
        <v>6</v>
      </c>
      <c r="F19">
        <v>10042</v>
      </c>
      <c r="G19">
        <v>0</v>
      </c>
      <c r="H19">
        <v>60252</v>
      </c>
      <c r="I19" t="str">
        <f t="shared" si="2"/>
        <v>Ishita</v>
      </c>
      <c r="J19" t="str">
        <f t="shared" si="3"/>
        <v>East</v>
      </c>
      <c r="K19" t="str">
        <f t="shared" si="4"/>
        <v>Printer</v>
      </c>
      <c r="L19">
        <f t="shared" si="5"/>
        <v>6</v>
      </c>
      <c r="M19">
        <f t="shared" si="6"/>
        <v>10042</v>
      </c>
      <c r="N19" s="2">
        <f t="shared" si="7"/>
        <v>0</v>
      </c>
      <c r="O19">
        <f t="shared" si="8"/>
        <v>60252</v>
      </c>
      <c r="P19" t="str">
        <f t="shared" si="9"/>
        <v>High Value</v>
      </c>
      <c r="Q19" t="str">
        <f t="shared" si="10"/>
        <v>No</v>
      </c>
      <c r="R19" t="str" cm="1">
        <f t="array" ref="R19">_xlfn.IFS(L19&gt;=20,"Bulk",L19&gt;=10,"Medium",L19&lt;10,"Low")</f>
        <v>Low</v>
      </c>
      <c r="S19" t="str" cm="1">
        <f t="array" ref="S19">_xlfn.IFS(O19&gt;30000,"Premium",30000&lt;O19&gt;10000,"Standard",O19&lt;10000,"Budget")</f>
        <v>Premium</v>
      </c>
      <c r="AB19" t="str">
        <v>Ritika</v>
      </c>
      <c r="AD19" t="str">
        <v>Ritika</v>
      </c>
    </row>
    <row r="20" spans="1:30" x14ac:dyDescent="0.35">
      <c r="A20" s="1">
        <v>45445</v>
      </c>
      <c r="B20" t="s">
        <v>31</v>
      </c>
      <c r="C20" t="s">
        <v>13</v>
      </c>
      <c r="D20" t="s">
        <v>38</v>
      </c>
      <c r="E20">
        <v>17</v>
      </c>
      <c r="F20">
        <v>22568</v>
      </c>
      <c r="G20">
        <v>5</v>
      </c>
      <c r="H20">
        <v>364473.2</v>
      </c>
      <c r="I20" t="str">
        <f t="shared" si="2"/>
        <v>Rhea</v>
      </c>
      <c r="J20" t="str">
        <f t="shared" si="3"/>
        <v>Northeast</v>
      </c>
      <c r="K20" t="str">
        <f t="shared" si="4"/>
        <v>Smartphone</v>
      </c>
      <c r="L20">
        <f t="shared" si="5"/>
        <v>17</v>
      </c>
      <c r="M20">
        <f t="shared" si="6"/>
        <v>22568</v>
      </c>
      <c r="N20" s="2">
        <f t="shared" si="7"/>
        <v>5</v>
      </c>
      <c r="O20">
        <f t="shared" si="8"/>
        <v>364473.2</v>
      </c>
      <c r="P20" t="str">
        <f t="shared" si="9"/>
        <v>High Value</v>
      </c>
      <c r="Q20" t="str">
        <f t="shared" si="10"/>
        <v>Yes</v>
      </c>
      <c r="R20" t="str" cm="1">
        <f t="array" ref="R20">_xlfn.IFS(L20&gt;=20,"Bulk",L20&gt;=10,"Medium",L20&lt;10,"Low")</f>
        <v>Medium</v>
      </c>
      <c r="S20" t="str" cm="1">
        <f t="array" ref="S20">_xlfn.IFS(O20&gt;30000,"Premium",30000&lt;O20&gt;10000,"Standard",O20&lt;10000,"Budget")</f>
        <v>Premium</v>
      </c>
      <c r="AB20" t="str">
        <v>Diya</v>
      </c>
      <c r="AD20" t="str">
        <v>Diya</v>
      </c>
    </row>
    <row r="21" spans="1:30" x14ac:dyDescent="0.35">
      <c r="A21" s="1">
        <v>45348</v>
      </c>
      <c r="B21" t="s">
        <v>39</v>
      </c>
      <c r="C21" t="s">
        <v>40</v>
      </c>
      <c r="D21" t="s">
        <v>32</v>
      </c>
      <c r="E21">
        <v>10</v>
      </c>
      <c r="F21">
        <v>4693</v>
      </c>
      <c r="G21">
        <v>0</v>
      </c>
      <c r="H21">
        <v>46930</v>
      </c>
      <c r="I21" t="str">
        <f t="shared" si="2"/>
        <v>Karan</v>
      </c>
      <c r="J21" t="str">
        <f t="shared" si="3"/>
        <v>Central</v>
      </c>
      <c r="K21" t="str">
        <f t="shared" si="4"/>
        <v>Headphones</v>
      </c>
      <c r="L21">
        <f t="shared" si="5"/>
        <v>10</v>
      </c>
      <c r="M21">
        <f t="shared" si="6"/>
        <v>4693</v>
      </c>
      <c r="N21" s="2">
        <f t="shared" si="7"/>
        <v>0</v>
      </c>
      <c r="O21">
        <f t="shared" si="8"/>
        <v>46930</v>
      </c>
      <c r="P21" t="str">
        <f t="shared" si="9"/>
        <v>Normal Sale</v>
      </c>
      <c r="Q21" t="str">
        <f t="shared" si="10"/>
        <v>No</v>
      </c>
      <c r="R21" t="str" cm="1">
        <f t="array" ref="R21">_xlfn.IFS(L21&gt;=20,"Bulk",L21&gt;=10,"Medium",L21&lt;10,"Low")</f>
        <v>Medium</v>
      </c>
      <c r="S21" t="str" cm="1">
        <f t="array" ref="S21">_xlfn.IFS(O21&gt;30000,"Premium",30000&lt;O21&gt;10000,"Standard",O21&lt;10000,"Budget")</f>
        <v>Premium</v>
      </c>
      <c r="AB21" t="str">
        <v>Jasmin</v>
      </c>
      <c r="AD21" t="str">
        <v>Jasmin</v>
      </c>
    </row>
    <row r="22" spans="1:30" x14ac:dyDescent="0.35">
      <c r="A22" s="1">
        <v>45336</v>
      </c>
      <c r="B22" t="s">
        <v>39</v>
      </c>
      <c r="C22" t="s">
        <v>41</v>
      </c>
      <c r="D22" t="s">
        <v>42</v>
      </c>
      <c r="E22">
        <v>12</v>
      </c>
      <c r="F22">
        <v>20551</v>
      </c>
      <c r="G22">
        <v>10</v>
      </c>
      <c r="H22">
        <v>221950.8</v>
      </c>
      <c r="I22" t="str">
        <f t="shared" si="2"/>
        <v>Karan</v>
      </c>
      <c r="J22" t="str">
        <f t="shared" si="3"/>
        <v>Southeast</v>
      </c>
      <c r="K22" t="str">
        <f t="shared" si="4"/>
        <v>Tablet</v>
      </c>
      <c r="L22">
        <f t="shared" si="5"/>
        <v>12</v>
      </c>
      <c r="M22">
        <f t="shared" si="6"/>
        <v>20551</v>
      </c>
      <c r="N22" s="2">
        <f t="shared" si="7"/>
        <v>10</v>
      </c>
      <c r="O22">
        <f t="shared" si="8"/>
        <v>221950.8</v>
      </c>
      <c r="P22" t="str">
        <f t="shared" si="9"/>
        <v>High Value</v>
      </c>
      <c r="Q22" t="str">
        <f t="shared" si="10"/>
        <v>Yes</v>
      </c>
      <c r="R22" t="str" cm="1">
        <f t="array" ref="R22">_xlfn.IFS(L22&gt;=20,"Bulk",L22&gt;=10,"Medium",L22&lt;10,"Low")</f>
        <v>Medium</v>
      </c>
      <c r="S22" t="str" cm="1">
        <f t="array" ref="S22">_xlfn.IFS(O22&gt;30000,"Premium",30000&lt;O22&gt;10000,"Standard",O22&lt;10000,"Budget")</f>
        <v>Premium</v>
      </c>
      <c r="AB22" t="str">
        <v>Tanya</v>
      </c>
      <c r="AD22" t="str">
        <v>Tanya</v>
      </c>
    </row>
    <row r="23" spans="1:30" x14ac:dyDescent="0.35">
      <c r="A23" s="1">
        <v>45656</v>
      </c>
      <c r="B23" t="s">
        <v>43</v>
      </c>
      <c r="C23" t="s">
        <v>11</v>
      </c>
      <c r="D23" t="s">
        <v>42</v>
      </c>
      <c r="E23">
        <v>19</v>
      </c>
      <c r="F23">
        <v>19626</v>
      </c>
      <c r="G23">
        <v>5</v>
      </c>
      <c r="H23">
        <v>354249.3</v>
      </c>
      <c r="I23" t="str">
        <f t="shared" si="2"/>
        <v>Nisha</v>
      </c>
      <c r="J23" t="str">
        <f t="shared" si="3"/>
        <v>South</v>
      </c>
      <c r="K23" t="str">
        <f t="shared" si="4"/>
        <v>Tablet</v>
      </c>
      <c r="L23">
        <f t="shared" si="5"/>
        <v>19</v>
      </c>
      <c r="M23">
        <f t="shared" si="6"/>
        <v>19626</v>
      </c>
      <c r="N23" s="2">
        <f t="shared" si="7"/>
        <v>5</v>
      </c>
      <c r="O23">
        <f t="shared" si="8"/>
        <v>354249.3</v>
      </c>
      <c r="P23" t="str">
        <f t="shared" si="9"/>
        <v>High Value</v>
      </c>
      <c r="Q23" t="str">
        <f t="shared" si="10"/>
        <v>Yes</v>
      </c>
      <c r="R23" t="str" cm="1">
        <f t="array" ref="R23">_xlfn.IFS(L23&gt;=20,"Bulk",L23&gt;=10,"Medium",L23&lt;10,"Low")</f>
        <v>Medium</v>
      </c>
      <c r="S23" t="str" cm="1">
        <f t="array" ref="S23">_xlfn.IFS(O23&gt;30000,"Premium",30000&lt;O23&gt;10000,"Standard",O23&lt;10000,"Budget")</f>
        <v>Premium</v>
      </c>
      <c r="AB23" t="str">
        <v>Zara</v>
      </c>
      <c r="AD23" t="str">
        <v>Zara</v>
      </c>
    </row>
    <row r="24" spans="1:30" x14ac:dyDescent="0.35">
      <c r="A24" s="1">
        <v>45592</v>
      </c>
      <c r="B24" t="s">
        <v>12</v>
      </c>
      <c r="C24" t="s">
        <v>16</v>
      </c>
      <c r="D24" t="s">
        <v>32</v>
      </c>
      <c r="E24">
        <v>13</v>
      </c>
      <c r="F24">
        <v>815</v>
      </c>
      <c r="G24">
        <v>15</v>
      </c>
      <c r="H24">
        <v>9005.75</v>
      </c>
      <c r="I24" t="str">
        <f t="shared" si="2"/>
        <v>Saanvi</v>
      </c>
      <c r="J24" t="str">
        <f t="shared" si="3"/>
        <v>North</v>
      </c>
      <c r="K24" t="str">
        <f t="shared" si="4"/>
        <v>Headphones</v>
      </c>
      <c r="L24">
        <f t="shared" si="5"/>
        <v>13</v>
      </c>
      <c r="M24">
        <f t="shared" si="6"/>
        <v>815</v>
      </c>
      <c r="N24" s="2">
        <f t="shared" si="7"/>
        <v>15</v>
      </c>
      <c r="O24">
        <f t="shared" si="8"/>
        <v>9005.75</v>
      </c>
      <c r="P24" t="str">
        <f t="shared" si="9"/>
        <v>Normal Sale</v>
      </c>
      <c r="Q24" t="str">
        <f t="shared" si="10"/>
        <v>Yes</v>
      </c>
      <c r="R24" t="str" cm="1">
        <f t="array" ref="R24">_xlfn.IFS(L24&gt;=20,"Bulk",L24&gt;=10,"Medium",L24&lt;10,"Low")</f>
        <v>Medium</v>
      </c>
      <c r="S24" t="str" cm="1">
        <f t="array" ref="S24">_xlfn.IFS(O24&gt;30000,"Premium",30000&lt;O24&gt;10000,"Standard",O24&lt;10000,"Budget")</f>
        <v>Standard</v>
      </c>
      <c r="AB24" t="str">
        <v>Vivaan</v>
      </c>
      <c r="AD24" t="str">
        <v>Vivaan</v>
      </c>
    </row>
    <row r="25" spans="1:30" x14ac:dyDescent="0.35">
      <c r="A25" s="1">
        <v>45404</v>
      </c>
      <c r="B25" t="s">
        <v>44</v>
      </c>
      <c r="C25" t="s">
        <v>34</v>
      </c>
      <c r="D25" t="s">
        <v>23</v>
      </c>
      <c r="E25">
        <v>29</v>
      </c>
      <c r="F25">
        <v>48733</v>
      </c>
      <c r="G25">
        <v>10</v>
      </c>
      <c r="H25">
        <v>1271931.3</v>
      </c>
      <c r="I25" t="str">
        <f t="shared" si="2"/>
        <v>Ritika</v>
      </c>
      <c r="J25" t="str">
        <f t="shared" si="3"/>
        <v>East</v>
      </c>
      <c r="K25" t="str">
        <f t="shared" si="4"/>
        <v>Laptop</v>
      </c>
      <c r="L25">
        <f t="shared" si="5"/>
        <v>29</v>
      </c>
      <c r="M25">
        <f t="shared" si="6"/>
        <v>48733</v>
      </c>
      <c r="N25" s="2">
        <f t="shared" si="7"/>
        <v>10</v>
      </c>
      <c r="O25">
        <f t="shared" si="8"/>
        <v>1271931.3</v>
      </c>
      <c r="P25" t="str">
        <f t="shared" si="9"/>
        <v>High Value</v>
      </c>
      <c r="Q25" t="str">
        <f t="shared" si="10"/>
        <v>Yes</v>
      </c>
      <c r="R25" t="str" cm="1">
        <f t="array" ref="R25">_xlfn.IFS(L25&gt;=20,"Bulk",L25&gt;=10,"Medium",L25&lt;10,"Low")</f>
        <v>Bulk</v>
      </c>
      <c r="S25" t="str" cm="1">
        <f t="array" ref="S25">_xlfn.IFS(O25&gt;30000,"Premium",30000&lt;O25&gt;10000,"Standard",O25&lt;10000,"Budget")</f>
        <v>Premium</v>
      </c>
      <c r="AB25" t="str">
        <v>Omkar</v>
      </c>
      <c r="AD25" t="str">
        <v>Omkar</v>
      </c>
    </row>
    <row r="26" spans="1:30" x14ac:dyDescent="0.35">
      <c r="A26" s="1">
        <v>45457</v>
      </c>
      <c r="B26" t="s">
        <v>8</v>
      </c>
      <c r="C26" t="s">
        <v>36</v>
      </c>
      <c r="D26" t="s">
        <v>14</v>
      </c>
      <c r="E26">
        <v>1</v>
      </c>
      <c r="F26">
        <v>2351</v>
      </c>
      <c r="G26">
        <v>5</v>
      </c>
      <c r="H26">
        <v>2233.4499999999998</v>
      </c>
      <c r="I26" t="str">
        <f t="shared" si="2"/>
        <v>Neha</v>
      </c>
      <c r="J26" t="str">
        <f t="shared" si="3"/>
        <v>West</v>
      </c>
      <c r="K26" t="str">
        <f t="shared" si="4"/>
        <v>Mouse</v>
      </c>
      <c r="L26">
        <f t="shared" si="5"/>
        <v>1</v>
      </c>
      <c r="M26">
        <f t="shared" si="6"/>
        <v>2351</v>
      </c>
      <c r="N26" s="2">
        <f t="shared" si="7"/>
        <v>5</v>
      </c>
      <c r="O26">
        <f t="shared" si="8"/>
        <v>2233.4499999999998</v>
      </c>
      <c r="P26" t="str">
        <f t="shared" si="9"/>
        <v>Normal Sale</v>
      </c>
      <c r="Q26" t="str">
        <f t="shared" si="10"/>
        <v>Yes</v>
      </c>
      <c r="R26" t="str" cm="1">
        <f t="array" ref="R26">_xlfn.IFS(L26&gt;=20,"Bulk",L26&gt;=10,"Medium",L26&lt;10,"Low")</f>
        <v>Low</v>
      </c>
      <c r="S26" t="str" cm="1">
        <f t="array" ref="S26">_xlfn.IFS(O26&gt;30000,"Premium",30000&lt;O26&gt;10000,"Standard",O26&lt;10000,"Budget")</f>
        <v>Standard</v>
      </c>
      <c r="AB26" t="str">
        <v>Vikram</v>
      </c>
      <c r="AD26" t="str">
        <v>Vikram</v>
      </c>
    </row>
    <row r="27" spans="1:30" x14ac:dyDescent="0.35">
      <c r="A27" s="1">
        <v>45411</v>
      </c>
      <c r="B27" t="s">
        <v>45</v>
      </c>
      <c r="C27" t="s">
        <v>36</v>
      </c>
      <c r="D27" t="s">
        <v>19</v>
      </c>
      <c r="E27">
        <v>4</v>
      </c>
      <c r="F27">
        <v>14508</v>
      </c>
      <c r="H27">
        <v>58032</v>
      </c>
      <c r="I27" t="str">
        <f t="shared" si="2"/>
        <v>Diya</v>
      </c>
      <c r="J27" t="str">
        <f t="shared" si="3"/>
        <v>West</v>
      </c>
      <c r="K27" t="str">
        <f t="shared" si="4"/>
        <v>Monitor</v>
      </c>
      <c r="L27">
        <f t="shared" si="5"/>
        <v>4</v>
      </c>
      <c r="M27">
        <f t="shared" si="6"/>
        <v>14508</v>
      </c>
      <c r="N27" s="2">
        <f t="shared" si="7"/>
        <v>0</v>
      </c>
      <c r="O27">
        <f t="shared" si="8"/>
        <v>58032</v>
      </c>
      <c r="P27" t="str">
        <f t="shared" si="9"/>
        <v>High Value</v>
      </c>
      <c r="Q27" t="str">
        <f t="shared" si="10"/>
        <v>No</v>
      </c>
      <c r="R27" t="str" cm="1">
        <f t="array" ref="R27">_xlfn.IFS(L27&gt;=20,"Bulk",L27&gt;=10,"Medium",L27&lt;10,"Low")</f>
        <v>Low</v>
      </c>
      <c r="S27" t="str" cm="1">
        <f t="array" ref="S27">_xlfn.IFS(O27&gt;30000,"Premium",30000&lt;O27&gt;10000,"Standard",O27&lt;10000,"Budget")</f>
        <v>Premium</v>
      </c>
      <c r="AB27" t="str">
        <v>Rohan S</v>
      </c>
      <c r="AD27" t="str">
        <v>Rohan S</v>
      </c>
    </row>
    <row r="28" spans="1:30" x14ac:dyDescent="0.35">
      <c r="A28" s="1">
        <v>45303</v>
      </c>
      <c r="B28" t="s">
        <v>46</v>
      </c>
      <c r="C28" t="s">
        <v>25</v>
      </c>
      <c r="D28" t="s">
        <v>30</v>
      </c>
      <c r="E28">
        <v>3</v>
      </c>
      <c r="F28">
        <v>2830</v>
      </c>
      <c r="G28">
        <v>0</v>
      </c>
      <c r="H28">
        <v>8490</v>
      </c>
      <c r="I28" t="str">
        <f t="shared" si="2"/>
        <v>Jasmin</v>
      </c>
      <c r="J28" t="str">
        <f t="shared" si="3"/>
        <v>Northwest</v>
      </c>
      <c r="K28" t="str">
        <f t="shared" si="4"/>
        <v>Keyboard</v>
      </c>
      <c r="L28">
        <f t="shared" si="5"/>
        <v>3</v>
      </c>
      <c r="M28">
        <f t="shared" si="6"/>
        <v>2830</v>
      </c>
      <c r="N28" s="2">
        <f t="shared" si="7"/>
        <v>0</v>
      </c>
      <c r="O28">
        <f t="shared" si="8"/>
        <v>8490</v>
      </c>
      <c r="P28" t="str">
        <f t="shared" si="9"/>
        <v>Normal Sale</v>
      </c>
      <c r="Q28" t="str">
        <f t="shared" si="10"/>
        <v>No</v>
      </c>
      <c r="R28" t="str" cm="1">
        <f t="array" ref="R28">_xlfn.IFS(L28&gt;=20,"Bulk",L28&gt;=10,"Medium",L28&lt;10,"Low")</f>
        <v>Low</v>
      </c>
      <c r="S28" t="str" cm="1">
        <f t="array" ref="S28">_xlfn.IFS(O28&gt;30000,"Premium",30000&lt;O28&gt;10000,"Standard",O28&lt;10000,"Budget")</f>
        <v>Standard</v>
      </c>
      <c r="AB28" t="str">
        <v>Harsh</v>
      </c>
      <c r="AD28" t="str">
        <v>Harsh</v>
      </c>
    </row>
    <row r="29" spans="1:30" x14ac:dyDescent="0.35">
      <c r="A29" s="1">
        <v>45488</v>
      </c>
      <c r="B29" t="s">
        <v>47</v>
      </c>
      <c r="C29" t="s">
        <v>13</v>
      </c>
      <c r="D29" t="s">
        <v>14</v>
      </c>
      <c r="E29">
        <v>20</v>
      </c>
      <c r="F29">
        <v>2913</v>
      </c>
      <c r="H29">
        <v>58260</v>
      </c>
      <c r="I29" t="str">
        <f t="shared" si="2"/>
        <v>Tanya</v>
      </c>
      <c r="J29" t="str">
        <f t="shared" si="3"/>
        <v>Northeast</v>
      </c>
      <c r="K29" t="str">
        <f t="shared" si="4"/>
        <v>Mouse</v>
      </c>
      <c r="L29">
        <f t="shared" si="5"/>
        <v>20</v>
      </c>
      <c r="M29">
        <f t="shared" si="6"/>
        <v>2913</v>
      </c>
      <c r="N29" s="2">
        <f t="shared" si="7"/>
        <v>0</v>
      </c>
      <c r="O29">
        <f t="shared" si="8"/>
        <v>58260</v>
      </c>
      <c r="P29" t="str">
        <f t="shared" si="9"/>
        <v>High Value</v>
      </c>
      <c r="Q29" t="str">
        <f t="shared" si="10"/>
        <v>No</v>
      </c>
      <c r="R29" t="str" cm="1">
        <f t="array" ref="R29">_xlfn.IFS(L29&gt;=20,"Bulk",L29&gt;=10,"Medium",L29&lt;10,"Low")</f>
        <v>Bulk</v>
      </c>
      <c r="S29" t="str" cm="1">
        <f t="array" ref="S29">_xlfn.IFS(O29&gt;30000,"Premium",30000&lt;O29&gt;10000,"Standard",O29&lt;10000,"Budget")</f>
        <v>Premium</v>
      </c>
      <c r="AB29" t="str">
        <v>Meera</v>
      </c>
      <c r="AD29" t="str">
        <v>Meera</v>
      </c>
    </row>
    <row r="30" spans="1:30" x14ac:dyDescent="0.35">
      <c r="A30" s="1">
        <v>45447</v>
      </c>
      <c r="B30" t="s">
        <v>43</v>
      </c>
      <c r="C30" t="s">
        <v>20</v>
      </c>
      <c r="D30" t="s">
        <v>19</v>
      </c>
      <c r="E30">
        <v>23</v>
      </c>
      <c r="F30">
        <v>13198</v>
      </c>
      <c r="G30">
        <v>0</v>
      </c>
      <c r="H30">
        <v>303554</v>
      </c>
      <c r="I30" t="str">
        <f t="shared" si="2"/>
        <v>Nisha</v>
      </c>
      <c r="J30" t="str">
        <f t="shared" si="3"/>
        <v>Southwest</v>
      </c>
      <c r="K30" t="str">
        <f t="shared" si="4"/>
        <v>Monitor</v>
      </c>
      <c r="L30">
        <f t="shared" si="5"/>
        <v>23</v>
      </c>
      <c r="M30">
        <f t="shared" si="6"/>
        <v>13198</v>
      </c>
      <c r="N30" s="2">
        <f t="shared" si="7"/>
        <v>0</v>
      </c>
      <c r="O30">
        <f t="shared" si="8"/>
        <v>303554</v>
      </c>
      <c r="P30" t="str">
        <f t="shared" si="9"/>
        <v>High Value</v>
      </c>
      <c r="Q30" t="str">
        <f t="shared" si="10"/>
        <v>No</v>
      </c>
      <c r="R30" t="str" cm="1">
        <f t="array" ref="R30">_xlfn.IFS(L30&gt;=20,"Bulk",L30&gt;=10,"Medium",L30&lt;10,"Low")</f>
        <v>Bulk</v>
      </c>
      <c r="S30" t="str" cm="1">
        <f t="array" ref="S30">_xlfn.IFS(O30&gt;30000,"Premium",30000&lt;O30&gt;10000,"Standard",O30&lt;10000,"Budget")</f>
        <v>Premium</v>
      </c>
      <c r="AB30" t="str">
        <v>Ananya</v>
      </c>
      <c r="AD30" t="str">
        <v>Ananya</v>
      </c>
    </row>
    <row r="31" spans="1:30" x14ac:dyDescent="0.35">
      <c r="A31" s="1">
        <v>45644</v>
      </c>
      <c r="B31" t="s">
        <v>48</v>
      </c>
      <c r="C31" t="s">
        <v>11</v>
      </c>
      <c r="D31" t="s">
        <v>28</v>
      </c>
      <c r="E31">
        <v>27</v>
      </c>
      <c r="F31">
        <v>4026</v>
      </c>
      <c r="G31">
        <v>5</v>
      </c>
      <c r="H31">
        <v>103266.9</v>
      </c>
      <c r="I31" t="str">
        <f t="shared" si="2"/>
        <v>Zara</v>
      </c>
      <c r="J31" t="str">
        <f t="shared" si="3"/>
        <v>South</v>
      </c>
      <c r="K31" t="str">
        <f t="shared" si="4"/>
        <v>Speaker</v>
      </c>
      <c r="L31">
        <f t="shared" si="5"/>
        <v>27</v>
      </c>
      <c r="M31">
        <f t="shared" si="6"/>
        <v>4026</v>
      </c>
      <c r="N31" s="2">
        <f t="shared" si="7"/>
        <v>5</v>
      </c>
      <c r="O31">
        <f t="shared" si="8"/>
        <v>103266.9</v>
      </c>
      <c r="P31" t="str">
        <f t="shared" si="9"/>
        <v>High Value</v>
      </c>
      <c r="Q31" t="str">
        <f t="shared" si="10"/>
        <v>Yes</v>
      </c>
      <c r="R31" t="str" cm="1">
        <f t="array" ref="R31">_xlfn.IFS(L31&gt;=20,"Bulk",L31&gt;=10,"Medium",L31&lt;10,"Low")</f>
        <v>Bulk</v>
      </c>
      <c r="S31" t="str" cm="1">
        <f t="array" ref="S31">_xlfn.IFS(O31&gt;30000,"Premium",30000&lt;O31&gt;10000,"Standard",O31&lt;10000,"Budget")</f>
        <v>Premium</v>
      </c>
      <c r="AB31" t="str">
        <v>Yuvraj</v>
      </c>
      <c r="AD31" t="str">
        <v>Yuvraj</v>
      </c>
    </row>
    <row r="32" spans="1:30" x14ac:dyDescent="0.35">
      <c r="A32" s="1">
        <v>45606</v>
      </c>
      <c r="B32" t="s">
        <v>24</v>
      </c>
      <c r="C32" t="s">
        <v>16</v>
      </c>
      <c r="D32" t="s">
        <v>28</v>
      </c>
      <c r="E32">
        <v>20</v>
      </c>
      <c r="F32">
        <v>5343</v>
      </c>
      <c r="G32">
        <v>20</v>
      </c>
      <c r="H32">
        <v>85488</v>
      </c>
      <c r="I32" t="str">
        <f t="shared" si="2"/>
        <v>Sourav</v>
      </c>
      <c r="J32" t="str">
        <f t="shared" si="3"/>
        <v>North</v>
      </c>
      <c r="K32" t="str">
        <f t="shared" si="4"/>
        <v>Speaker</v>
      </c>
      <c r="L32">
        <f t="shared" si="5"/>
        <v>20</v>
      </c>
      <c r="M32">
        <f t="shared" si="6"/>
        <v>5343</v>
      </c>
      <c r="N32" s="2">
        <f t="shared" si="7"/>
        <v>20</v>
      </c>
      <c r="O32">
        <f t="shared" si="8"/>
        <v>85488</v>
      </c>
      <c r="P32" t="str">
        <f t="shared" si="9"/>
        <v>High Value</v>
      </c>
      <c r="Q32" t="str">
        <f t="shared" si="10"/>
        <v>Yes</v>
      </c>
      <c r="R32" t="str" cm="1">
        <f t="array" ref="R32">_xlfn.IFS(L32&gt;=20,"Bulk",L32&gt;=10,"Medium",L32&lt;10,"Low")</f>
        <v>Bulk</v>
      </c>
      <c r="S32" t="str" cm="1">
        <f t="array" ref="S32">_xlfn.IFS(O32&gt;30000,"Premium",30000&lt;O32&gt;10000,"Standard",O32&lt;10000,"Budget")</f>
        <v>Premium</v>
      </c>
      <c r="AB32" t="str">
        <v>Rohan</v>
      </c>
      <c r="AD32" t="str">
        <v>Rohan</v>
      </c>
    </row>
    <row r="33" spans="1:19" x14ac:dyDescent="0.35">
      <c r="A33" s="1">
        <v>45610</v>
      </c>
      <c r="B33" t="s">
        <v>49</v>
      </c>
      <c r="C33" t="s">
        <v>13</v>
      </c>
      <c r="D33" t="s">
        <v>21</v>
      </c>
      <c r="E33">
        <v>2</v>
      </c>
      <c r="F33">
        <v>1768</v>
      </c>
      <c r="G33">
        <v>10</v>
      </c>
      <c r="H33">
        <v>3182.4</v>
      </c>
      <c r="I33" t="str">
        <f t="shared" si="2"/>
        <v>Vivaan</v>
      </c>
      <c r="J33" t="str">
        <f t="shared" si="3"/>
        <v>Northeast</v>
      </c>
      <c r="K33" t="str">
        <f t="shared" si="4"/>
        <v>Webcam</v>
      </c>
      <c r="L33">
        <f t="shared" si="5"/>
        <v>2</v>
      </c>
      <c r="M33">
        <f t="shared" si="6"/>
        <v>1768</v>
      </c>
      <c r="N33" s="2">
        <f t="shared" si="7"/>
        <v>10</v>
      </c>
      <c r="O33">
        <f t="shared" si="8"/>
        <v>3182.4</v>
      </c>
      <c r="P33" t="str">
        <f t="shared" si="9"/>
        <v>Normal Sale</v>
      </c>
      <c r="Q33" t="str">
        <f t="shared" si="10"/>
        <v>Yes</v>
      </c>
      <c r="R33" t="str" cm="1">
        <f t="array" ref="R33">_xlfn.IFS(L33&gt;=20,"Bulk",L33&gt;=10,"Medium",L33&lt;10,"Low")</f>
        <v>Low</v>
      </c>
      <c r="S33" t="str" cm="1">
        <f t="array" ref="S33">_xlfn.IFS(O33&gt;30000,"Premium",30000&lt;O33&gt;10000,"Standard",O33&lt;10000,"Budget")</f>
        <v>Standard</v>
      </c>
    </row>
    <row r="34" spans="1:19" x14ac:dyDescent="0.35">
      <c r="A34" s="1">
        <v>45407</v>
      </c>
      <c r="B34" t="s">
        <v>26</v>
      </c>
      <c r="C34" t="s">
        <v>34</v>
      </c>
      <c r="D34" t="s">
        <v>38</v>
      </c>
      <c r="E34">
        <v>15</v>
      </c>
      <c r="F34">
        <v>22691</v>
      </c>
      <c r="G34">
        <v>15</v>
      </c>
      <c r="H34">
        <v>289310.25</v>
      </c>
      <c r="I34" t="str">
        <f t="shared" si="2"/>
        <v>Kabir</v>
      </c>
      <c r="J34" t="str">
        <f t="shared" si="3"/>
        <v>East</v>
      </c>
      <c r="K34" t="str">
        <f t="shared" si="4"/>
        <v>Smartphone</v>
      </c>
      <c r="L34">
        <f t="shared" si="5"/>
        <v>15</v>
      </c>
      <c r="M34">
        <f t="shared" si="6"/>
        <v>22691</v>
      </c>
      <c r="N34" s="2">
        <f t="shared" si="7"/>
        <v>15</v>
      </c>
      <c r="O34">
        <f t="shared" si="8"/>
        <v>289310.25</v>
      </c>
      <c r="P34" t="str">
        <f t="shared" si="9"/>
        <v>High Value</v>
      </c>
      <c r="Q34" t="str">
        <f t="shared" si="10"/>
        <v>Yes</v>
      </c>
      <c r="R34" t="str" cm="1">
        <f t="array" ref="R34">_xlfn.IFS(L34&gt;=20,"Bulk",L34&gt;=10,"Medium",L34&lt;10,"Low")</f>
        <v>Medium</v>
      </c>
      <c r="S34" t="str" cm="1">
        <f t="array" ref="S34">_xlfn.IFS(O34&gt;30000,"Premium",30000&lt;O34&gt;10000,"Standard",O34&lt;10000,"Budget")</f>
        <v>Premium</v>
      </c>
    </row>
    <row r="35" spans="1:19" x14ac:dyDescent="0.35">
      <c r="A35" s="1">
        <v>45516</v>
      </c>
      <c r="B35" t="s">
        <v>29</v>
      </c>
      <c r="C35" t="s">
        <v>36</v>
      </c>
      <c r="D35" t="s">
        <v>42</v>
      </c>
      <c r="E35">
        <v>16</v>
      </c>
      <c r="F35">
        <v>17695</v>
      </c>
      <c r="G35">
        <v>15</v>
      </c>
      <c r="H35">
        <v>240652</v>
      </c>
      <c r="I35" t="str">
        <f t="shared" si="2"/>
        <v>Mihir</v>
      </c>
      <c r="J35" t="str">
        <f t="shared" si="3"/>
        <v>West</v>
      </c>
      <c r="K35" t="str">
        <f t="shared" si="4"/>
        <v>Tablet</v>
      </c>
      <c r="L35">
        <f t="shared" si="5"/>
        <v>16</v>
      </c>
      <c r="M35">
        <f t="shared" si="6"/>
        <v>17695</v>
      </c>
      <c r="N35" s="2">
        <f t="shared" si="7"/>
        <v>15</v>
      </c>
      <c r="O35">
        <f t="shared" si="8"/>
        <v>240652</v>
      </c>
      <c r="P35" t="str">
        <f t="shared" si="9"/>
        <v>High Value</v>
      </c>
      <c r="Q35" t="str">
        <f t="shared" si="10"/>
        <v>Yes</v>
      </c>
      <c r="R35" t="str" cm="1">
        <f t="array" ref="R35">_xlfn.IFS(L35&gt;=20,"Bulk",L35&gt;=10,"Medium",L35&lt;10,"Low")</f>
        <v>Medium</v>
      </c>
      <c r="S35" t="str" cm="1">
        <f t="array" ref="S35">_xlfn.IFS(O35&gt;30000,"Premium",30000&lt;O35&gt;10000,"Standard",O35&lt;10000,"Budget")</f>
        <v>Premium</v>
      </c>
    </row>
    <row r="36" spans="1:19" x14ac:dyDescent="0.35">
      <c r="A36" s="1">
        <v>45528</v>
      </c>
      <c r="B36" t="s">
        <v>48</v>
      </c>
      <c r="C36" t="s">
        <v>25</v>
      </c>
      <c r="D36" t="s">
        <v>23</v>
      </c>
      <c r="E36">
        <v>13</v>
      </c>
      <c r="F36">
        <v>48880</v>
      </c>
      <c r="G36">
        <v>15</v>
      </c>
      <c r="H36">
        <v>540124</v>
      </c>
      <c r="I36" t="str">
        <f t="shared" si="2"/>
        <v>Zara</v>
      </c>
      <c r="J36" t="str">
        <f t="shared" si="3"/>
        <v>Northwest</v>
      </c>
      <c r="K36" t="str">
        <f t="shared" si="4"/>
        <v>Laptop</v>
      </c>
      <c r="L36">
        <f t="shared" si="5"/>
        <v>13</v>
      </c>
      <c r="M36">
        <f t="shared" si="6"/>
        <v>48880</v>
      </c>
      <c r="N36" s="2">
        <f t="shared" si="7"/>
        <v>15</v>
      </c>
      <c r="O36">
        <f t="shared" si="8"/>
        <v>540124</v>
      </c>
      <c r="P36" t="str">
        <f t="shared" si="9"/>
        <v>High Value</v>
      </c>
      <c r="Q36" t="str">
        <f t="shared" si="10"/>
        <v>Yes</v>
      </c>
      <c r="R36" t="str" cm="1">
        <f t="array" ref="R36">_xlfn.IFS(L36&gt;=20,"Bulk",L36&gt;=10,"Medium",L36&lt;10,"Low")</f>
        <v>Medium</v>
      </c>
      <c r="S36" t="str" cm="1">
        <f t="array" ref="S36">_xlfn.IFS(O36&gt;30000,"Premium",30000&lt;O36&gt;10000,"Standard",O36&lt;10000,"Budget")</f>
        <v>Premium</v>
      </c>
    </row>
    <row r="37" spans="1:19" x14ac:dyDescent="0.35">
      <c r="A37" s="1">
        <v>45529</v>
      </c>
      <c r="B37" t="s">
        <v>26</v>
      </c>
      <c r="C37" t="s">
        <v>11</v>
      </c>
      <c r="D37" t="s">
        <v>23</v>
      </c>
      <c r="E37">
        <v>22</v>
      </c>
      <c r="F37">
        <v>47036</v>
      </c>
      <c r="G37">
        <v>0</v>
      </c>
      <c r="H37">
        <v>1034792</v>
      </c>
      <c r="I37" t="str">
        <f t="shared" si="2"/>
        <v>Kabir</v>
      </c>
      <c r="J37" t="str">
        <f t="shared" si="3"/>
        <v>South</v>
      </c>
      <c r="K37" t="str">
        <f t="shared" si="4"/>
        <v>Laptop</v>
      </c>
      <c r="L37">
        <f t="shared" si="5"/>
        <v>22</v>
      </c>
      <c r="M37">
        <f t="shared" si="6"/>
        <v>47036</v>
      </c>
      <c r="N37" s="2">
        <f t="shared" si="7"/>
        <v>0</v>
      </c>
      <c r="O37">
        <f t="shared" si="8"/>
        <v>1034792</v>
      </c>
      <c r="P37" t="str">
        <f t="shared" si="9"/>
        <v>High Value</v>
      </c>
      <c r="Q37" t="str">
        <f t="shared" si="10"/>
        <v>No</v>
      </c>
      <c r="R37" t="str" cm="1">
        <f t="array" ref="R37">_xlfn.IFS(L37&gt;=20,"Bulk",L37&gt;=10,"Medium",L37&lt;10,"Low")</f>
        <v>Bulk</v>
      </c>
      <c r="S37" t="str" cm="1">
        <f t="array" ref="S37">_xlfn.IFS(O37&gt;30000,"Premium",30000&lt;O37&gt;10000,"Standard",O37&lt;10000,"Budget")</f>
        <v>Premium</v>
      </c>
    </row>
    <row r="38" spans="1:19" x14ac:dyDescent="0.35">
      <c r="A38" s="1">
        <v>45653</v>
      </c>
      <c r="B38" t="s">
        <v>50</v>
      </c>
      <c r="C38" t="s">
        <v>36</v>
      </c>
      <c r="D38" t="s">
        <v>30</v>
      </c>
      <c r="E38">
        <v>19</v>
      </c>
      <c r="F38">
        <v>3919</v>
      </c>
      <c r="H38">
        <v>74461</v>
      </c>
      <c r="I38" t="str">
        <f t="shared" si="2"/>
        <v>Omkar</v>
      </c>
      <c r="J38" t="str">
        <f t="shared" si="3"/>
        <v>West</v>
      </c>
      <c r="K38" t="str">
        <f t="shared" si="4"/>
        <v>Keyboard</v>
      </c>
      <c r="L38">
        <f t="shared" si="5"/>
        <v>19</v>
      </c>
      <c r="M38">
        <f t="shared" si="6"/>
        <v>3919</v>
      </c>
      <c r="N38" s="2">
        <f t="shared" si="7"/>
        <v>0</v>
      </c>
      <c r="O38">
        <f t="shared" si="8"/>
        <v>74461</v>
      </c>
      <c r="P38" t="str">
        <f t="shared" si="9"/>
        <v>High Value</v>
      </c>
      <c r="Q38" t="str">
        <f t="shared" si="10"/>
        <v>No</v>
      </c>
      <c r="R38" t="str" cm="1">
        <f t="array" ref="R38">_xlfn.IFS(L38&gt;=20,"Bulk",L38&gt;=10,"Medium",L38&lt;10,"Low")</f>
        <v>Medium</v>
      </c>
      <c r="S38" t="str" cm="1">
        <f t="array" ref="S38">_xlfn.IFS(O38&gt;30000,"Premium",30000&lt;O38&gt;10000,"Standard",O38&lt;10000,"Budget")</f>
        <v>Premium</v>
      </c>
    </row>
    <row r="39" spans="1:19" x14ac:dyDescent="0.35">
      <c r="A39" s="1">
        <v>45427</v>
      </c>
      <c r="B39" t="s">
        <v>51</v>
      </c>
      <c r="C39" t="s">
        <v>25</v>
      </c>
      <c r="D39" t="s">
        <v>23</v>
      </c>
      <c r="E39">
        <v>19</v>
      </c>
      <c r="F39">
        <v>48370</v>
      </c>
      <c r="H39">
        <v>919030</v>
      </c>
      <c r="I39" t="str">
        <f t="shared" si="2"/>
        <v>Vikram</v>
      </c>
      <c r="J39" t="str">
        <f t="shared" si="3"/>
        <v>Northwest</v>
      </c>
      <c r="K39" t="str">
        <f t="shared" si="4"/>
        <v>Laptop</v>
      </c>
      <c r="L39">
        <f t="shared" si="5"/>
        <v>19</v>
      </c>
      <c r="M39">
        <f t="shared" si="6"/>
        <v>48370</v>
      </c>
      <c r="N39" s="2">
        <f t="shared" si="7"/>
        <v>0</v>
      </c>
      <c r="O39">
        <f t="shared" si="8"/>
        <v>919030</v>
      </c>
      <c r="P39" t="str">
        <f t="shared" si="9"/>
        <v>High Value</v>
      </c>
      <c r="Q39" t="str">
        <f t="shared" si="10"/>
        <v>No</v>
      </c>
      <c r="R39" t="str" cm="1">
        <f t="array" ref="R39">_xlfn.IFS(L39&gt;=20,"Bulk",L39&gt;=10,"Medium",L39&lt;10,"Low")</f>
        <v>Medium</v>
      </c>
      <c r="S39" t="str" cm="1">
        <f t="array" ref="S39">_xlfn.IFS(O39&gt;30000,"Premium",30000&lt;O39&gt;10000,"Standard",O39&lt;10000,"Budget")</f>
        <v>Premium</v>
      </c>
    </row>
    <row r="40" spans="1:19" x14ac:dyDescent="0.35">
      <c r="A40" s="1">
        <v>45567</v>
      </c>
      <c r="B40" t="s">
        <v>35</v>
      </c>
      <c r="C40" t="s">
        <v>25</v>
      </c>
      <c r="D40" t="s">
        <v>32</v>
      </c>
      <c r="E40">
        <v>17</v>
      </c>
      <c r="F40">
        <v>2520</v>
      </c>
      <c r="H40">
        <v>42840</v>
      </c>
      <c r="I40" t="str">
        <f t="shared" si="2"/>
        <v>Aisha</v>
      </c>
      <c r="J40" t="str">
        <f t="shared" si="3"/>
        <v>Northwest</v>
      </c>
      <c r="K40" t="str">
        <f t="shared" si="4"/>
        <v>Headphones</v>
      </c>
      <c r="L40">
        <f t="shared" si="5"/>
        <v>17</v>
      </c>
      <c r="M40">
        <f t="shared" si="6"/>
        <v>2520</v>
      </c>
      <c r="N40" s="2">
        <f t="shared" si="7"/>
        <v>0</v>
      </c>
      <c r="O40">
        <f t="shared" si="8"/>
        <v>42840</v>
      </c>
      <c r="P40" t="str">
        <f t="shared" si="9"/>
        <v>Normal Sale</v>
      </c>
      <c r="Q40" t="str">
        <f t="shared" si="10"/>
        <v>No</v>
      </c>
      <c r="R40" t="str" cm="1">
        <f t="array" ref="R40">_xlfn.IFS(L40&gt;=20,"Bulk",L40&gt;=10,"Medium",L40&lt;10,"Low")</f>
        <v>Medium</v>
      </c>
      <c r="S40" t="str" cm="1">
        <f t="array" ref="S40">_xlfn.IFS(O40&gt;30000,"Premium",30000&lt;O40&gt;10000,"Standard",O40&lt;10000,"Budget")</f>
        <v>Premium</v>
      </c>
    </row>
    <row r="41" spans="1:19" x14ac:dyDescent="0.35">
      <c r="A41" s="1">
        <v>45413</v>
      </c>
      <c r="B41" t="s">
        <v>48</v>
      </c>
      <c r="C41" t="s">
        <v>16</v>
      </c>
      <c r="D41" t="s">
        <v>9</v>
      </c>
      <c r="E41">
        <v>16</v>
      </c>
      <c r="F41">
        <v>6256</v>
      </c>
      <c r="G41">
        <v>0</v>
      </c>
      <c r="H41">
        <v>100096</v>
      </c>
      <c r="I41" t="str">
        <f t="shared" si="2"/>
        <v>Zara</v>
      </c>
      <c r="J41" t="str">
        <f t="shared" si="3"/>
        <v>North</v>
      </c>
      <c r="K41" t="str">
        <f t="shared" si="4"/>
        <v>Printer</v>
      </c>
      <c r="L41">
        <f t="shared" si="5"/>
        <v>16</v>
      </c>
      <c r="M41">
        <f t="shared" si="6"/>
        <v>6256</v>
      </c>
      <c r="N41" s="2">
        <f t="shared" si="7"/>
        <v>0</v>
      </c>
      <c r="O41">
        <f t="shared" si="8"/>
        <v>100096</v>
      </c>
      <c r="P41" t="str">
        <f t="shared" si="9"/>
        <v>High Value</v>
      </c>
      <c r="Q41" t="str">
        <f t="shared" si="10"/>
        <v>No</v>
      </c>
      <c r="R41" t="str" cm="1">
        <f t="array" ref="R41">_xlfn.IFS(L41&gt;=20,"Bulk",L41&gt;=10,"Medium",L41&lt;10,"Low")</f>
        <v>Medium</v>
      </c>
      <c r="S41" t="str" cm="1">
        <f t="array" ref="S41">_xlfn.IFS(O41&gt;30000,"Premium",30000&lt;O41&gt;10000,"Standard",O41&lt;10000,"Budget")</f>
        <v>Premium</v>
      </c>
    </row>
    <row r="42" spans="1:19" x14ac:dyDescent="0.35">
      <c r="A42" s="1">
        <v>45406</v>
      </c>
      <c r="B42" t="s">
        <v>51</v>
      </c>
      <c r="C42" t="s">
        <v>13</v>
      </c>
      <c r="D42" t="s">
        <v>42</v>
      </c>
      <c r="E42">
        <v>19</v>
      </c>
      <c r="F42">
        <v>18340</v>
      </c>
      <c r="H42">
        <v>348460</v>
      </c>
      <c r="I42" t="str">
        <f t="shared" si="2"/>
        <v>Vikram</v>
      </c>
      <c r="J42" t="str">
        <f t="shared" si="3"/>
        <v>Northeast</v>
      </c>
      <c r="K42" t="str">
        <f t="shared" si="4"/>
        <v>Tablet</v>
      </c>
      <c r="L42">
        <f t="shared" si="5"/>
        <v>19</v>
      </c>
      <c r="M42">
        <f t="shared" si="6"/>
        <v>18340</v>
      </c>
      <c r="N42" s="2">
        <f t="shared" si="7"/>
        <v>0</v>
      </c>
      <c r="O42">
        <f t="shared" si="8"/>
        <v>348460</v>
      </c>
      <c r="P42" t="str">
        <f t="shared" si="9"/>
        <v>High Value</v>
      </c>
      <c r="Q42" t="str">
        <f t="shared" si="10"/>
        <v>No</v>
      </c>
      <c r="R42" t="str" cm="1">
        <f t="array" ref="R42">_xlfn.IFS(L42&gt;=20,"Bulk",L42&gt;=10,"Medium",L42&lt;10,"Low")</f>
        <v>Medium</v>
      </c>
      <c r="S42" t="str" cm="1">
        <f t="array" ref="S42">_xlfn.IFS(O42&gt;30000,"Premium",30000&lt;O42&gt;10000,"Standard",O42&lt;10000,"Budget")</f>
        <v>Premium</v>
      </c>
    </row>
    <row r="43" spans="1:19" x14ac:dyDescent="0.35">
      <c r="A43" s="1">
        <v>45549</v>
      </c>
      <c r="B43" t="s">
        <v>52</v>
      </c>
      <c r="C43" t="s">
        <v>41</v>
      </c>
      <c r="D43" t="s">
        <v>9</v>
      </c>
      <c r="E43">
        <v>14</v>
      </c>
      <c r="F43">
        <v>10942</v>
      </c>
      <c r="G43">
        <v>0</v>
      </c>
      <c r="H43">
        <v>153188</v>
      </c>
      <c r="I43" t="str">
        <f t="shared" si="2"/>
        <v>Rohan S</v>
      </c>
      <c r="J43" t="str">
        <f t="shared" si="3"/>
        <v>Southeast</v>
      </c>
      <c r="K43" t="str">
        <f t="shared" si="4"/>
        <v>Printer</v>
      </c>
      <c r="L43">
        <f t="shared" si="5"/>
        <v>14</v>
      </c>
      <c r="M43">
        <f t="shared" si="6"/>
        <v>10942</v>
      </c>
      <c r="N43" s="2">
        <f t="shared" si="7"/>
        <v>0</v>
      </c>
      <c r="O43">
        <f t="shared" si="8"/>
        <v>153188</v>
      </c>
      <c r="P43" t="str">
        <f t="shared" si="9"/>
        <v>High Value</v>
      </c>
      <c r="Q43" t="str">
        <f t="shared" si="10"/>
        <v>No</v>
      </c>
      <c r="R43" t="str" cm="1">
        <f t="array" ref="R43">_xlfn.IFS(L43&gt;=20,"Bulk",L43&gt;=10,"Medium",L43&lt;10,"Low")</f>
        <v>Medium</v>
      </c>
      <c r="S43" t="str" cm="1">
        <f t="array" ref="S43">_xlfn.IFS(O43&gt;30000,"Premium",30000&lt;O43&gt;10000,"Standard",O43&lt;10000,"Budget")</f>
        <v>Premium</v>
      </c>
    </row>
    <row r="44" spans="1:19" x14ac:dyDescent="0.35">
      <c r="A44" s="1">
        <v>45376</v>
      </c>
      <c r="B44" t="s">
        <v>48</v>
      </c>
      <c r="C44" t="s">
        <v>41</v>
      </c>
      <c r="D44" t="s">
        <v>14</v>
      </c>
      <c r="E44">
        <v>26</v>
      </c>
      <c r="F44">
        <v>2189</v>
      </c>
      <c r="G44">
        <v>0</v>
      </c>
      <c r="H44">
        <v>56914</v>
      </c>
      <c r="I44" t="str">
        <f t="shared" si="2"/>
        <v>Zara</v>
      </c>
      <c r="J44" t="str">
        <f t="shared" si="3"/>
        <v>Southeast</v>
      </c>
      <c r="K44" t="str">
        <f t="shared" si="4"/>
        <v>Mouse</v>
      </c>
      <c r="L44">
        <f t="shared" si="5"/>
        <v>26</v>
      </c>
      <c r="M44">
        <f t="shared" si="6"/>
        <v>2189</v>
      </c>
      <c r="N44" s="2">
        <f t="shared" si="7"/>
        <v>0</v>
      </c>
      <c r="O44">
        <f t="shared" si="8"/>
        <v>56914</v>
      </c>
      <c r="P44" t="str">
        <f t="shared" si="9"/>
        <v>High Value</v>
      </c>
      <c r="Q44" t="str">
        <f t="shared" si="10"/>
        <v>No</v>
      </c>
      <c r="R44" t="str" cm="1">
        <f t="array" ref="R44">_xlfn.IFS(L44&gt;=20,"Bulk",L44&gt;=10,"Medium",L44&lt;10,"Low")</f>
        <v>Bulk</v>
      </c>
      <c r="S44" t="str" cm="1">
        <f t="array" ref="S44">_xlfn.IFS(O44&gt;30000,"Premium",30000&lt;O44&gt;10000,"Standard",O44&lt;10000,"Budget")</f>
        <v>Premium</v>
      </c>
    </row>
    <row r="45" spans="1:19" x14ac:dyDescent="0.35">
      <c r="A45" s="1">
        <v>45632</v>
      </c>
      <c r="B45" t="s">
        <v>29</v>
      </c>
      <c r="C45" t="s">
        <v>40</v>
      </c>
      <c r="D45" t="s">
        <v>53</v>
      </c>
      <c r="F45">
        <v>-168</v>
      </c>
      <c r="G45">
        <v>5</v>
      </c>
      <c r="H45">
        <v>-2872.8</v>
      </c>
      <c r="I45" t="str">
        <f t="shared" si="2"/>
        <v>Mihir</v>
      </c>
      <c r="J45" t="str">
        <f t="shared" si="3"/>
        <v>Central</v>
      </c>
      <c r="K45" t="str">
        <f t="shared" si="4"/>
        <v>Charger</v>
      </c>
      <c r="L45">
        <f t="shared" si="5"/>
        <v>0</v>
      </c>
      <c r="M45">
        <f t="shared" si="6"/>
        <v>168</v>
      </c>
      <c r="N45" s="2">
        <f t="shared" si="7"/>
        <v>5</v>
      </c>
      <c r="O45">
        <f t="shared" si="8"/>
        <v>2872.8</v>
      </c>
      <c r="P45" t="str">
        <f t="shared" si="9"/>
        <v>Normal Sale</v>
      </c>
      <c r="Q45" t="str">
        <f t="shared" si="10"/>
        <v>Yes</v>
      </c>
      <c r="R45" t="str" cm="1">
        <f t="array" ref="R45">_xlfn.IFS(L45&gt;=20,"Bulk",L45&gt;=10,"Medium",L45&lt;10,"Low")</f>
        <v>Low</v>
      </c>
      <c r="S45" t="str" cm="1">
        <f t="array" ref="S45">_xlfn.IFS(O45&gt;30000,"Premium",30000&lt;O45&gt;10000,"Standard",O45&lt;10000,"Budget")</f>
        <v>Standard</v>
      </c>
    </row>
    <row r="46" spans="1:19" x14ac:dyDescent="0.35">
      <c r="A46" s="1">
        <v>45468</v>
      </c>
      <c r="B46" t="s">
        <v>52</v>
      </c>
      <c r="C46" t="s">
        <v>11</v>
      </c>
      <c r="D46" t="s">
        <v>19</v>
      </c>
      <c r="F46">
        <v>13987</v>
      </c>
      <c r="H46">
        <v>307714</v>
      </c>
      <c r="I46" t="str">
        <f t="shared" si="2"/>
        <v>Rohan S</v>
      </c>
      <c r="J46" t="str">
        <f t="shared" si="3"/>
        <v>South</v>
      </c>
      <c r="K46" t="str">
        <f t="shared" si="4"/>
        <v>Monitor</v>
      </c>
      <c r="L46">
        <f t="shared" si="5"/>
        <v>0</v>
      </c>
      <c r="M46">
        <f t="shared" si="6"/>
        <v>13987</v>
      </c>
      <c r="N46" s="2">
        <f t="shared" si="7"/>
        <v>0</v>
      </c>
      <c r="O46">
        <f t="shared" si="8"/>
        <v>307714</v>
      </c>
      <c r="P46" t="str">
        <f t="shared" si="9"/>
        <v>High Value</v>
      </c>
      <c r="Q46" t="str">
        <f t="shared" si="10"/>
        <v>No</v>
      </c>
      <c r="R46" t="str" cm="1">
        <f t="array" ref="R46">_xlfn.IFS(L46&gt;=20,"Bulk",L46&gt;=10,"Medium",L46&lt;10,"Low")</f>
        <v>Low</v>
      </c>
      <c r="S46" t="str" cm="1">
        <f t="array" ref="S46">_xlfn.IFS(O46&gt;30000,"Premium",30000&lt;O46&gt;10000,"Standard",O46&lt;10000,"Budget")</f>
        <v>Premium</v>
      </c>
    </row>
    <row r="47" spans="1:19" x14ac:dyDescent="0.35">
      <c r="A47" s="1">
        <v>45458</v>
      </c>
      <c r="B47" t="s">
        <v>54</v>
      </c>
      <c r="C47" t="s">
        <v>41</v>
      </c>
      <c r="D47" t="s">
        <v>17</v>
      </c>
      <c r="E47">
        <v>13</v>
      </c>
      <c r="F47">
        <v>1525</v>
      </c>
      <c r="G47">
        <v>20</v>
      </c>
      <c r="H47">
        <v>15860</v>
      </c>
      <c r="I47" t="str">
        <f t="shared" si="2"/>
        <v>Harsh</v>
      </c>
      <c r="J47" t="str">
        <f t="shared" si="3"/>
        <v>Southeast</v>
      </c>
      <c r="K47" t="str">
        <f t="shared" si="4"/>
        <v>Router</v>
      </c>
      <c r="L47">
        <f t="shared" si="5"/>
        <v>13</v>
      </c>
      <c r="M47">
        <f t="shared" si="6"/>
        <v>1525</v>
      </c>
      <c r="N47" s="2">
        <f t="shared" si="7"/>
        <v>20</v>
      </c>
      <c r="O47">
        <f t="shared" si="8"/>
        <v>15860</v>
      </c>
      <c r="P47" t="str">
        <f t="shared" si="9"/>
        <v>Normal Sale</v>
      </c>
      <c r="Q47" t="str">
        <f t="shared" si="10"/>
        <v>Yes</v>
      </c>
      <c r="R47" t="str" cm="1">
        <f t="array" ref="R47">_xlfn.IFS(L47&gt;=20,"Bulk",L47&gt;=10,"Medium",L47&lt;10,"Low")</f>
        <v>Medium</v>
      </c>
      <c r="S47" t="str" cm="1">
        <f t="array" ref="S47">_xlfn.IFS(O47&gt;30000,"Premium",30000&lt;O47&gt;10000,"Standard",O47&lt;10000,"Budget")</f>
        <v>Standard</v>
      </c>
    </row>
    <row r="48" spans="1:19" x14ac:dyDescent="0.35">
      <c r="A48" s="1">
        <v>45305</v>
      </c>
      <c r="C48" t="s">
        <v>16</v>
      </c>
      <c r="D48" t="s">
        <v>19</v>
      </c>
      <c r="E48">
        <v>14</v>
      </c>
      <c r="F48">
        <v>10912</v>
      </c>
      <c r="G48">
        <v>5</v>
      </c>
      <c r="H48">
        <v>145129.60000000001</v>
      </c>
      <c r="I48" t="str">
        <f t="shared" si="2"/>
        <v>Unknown</v>
      </c>
      <c r="J48" t="str">
        <f t="shared" si="3"/>
        <v>North</v>
      </c>
      <c r="K48" t="str">
        <f t="shared" si="4"/>
        <v>Monitor</v>
      </c>
      <c r="L48">
        <f t="shared" si="5"/>
        <v>14</v>
      </c>
      <c r="M48">
        <f t="shared" si="6"/>
        <v>10912</v>
      </c>
      <c r="N48" s="2">
        <f t="shared" si="7"/>
        <v>5</v>
      </c>
      <c r="O48">
        <f t="shared" si="8"/>
        <v>145129.60000000001</v>
      </c>
      <c r="P48" t="str">
        <f t="shared" si="9"/>
        <v>High Value</v>
      </c>
      <c r="Q48" t="str">
        <f t="shared" si="10"/>
        <v>Yes</v>
      </c>
      <c r="R48" t="str" cm="1">
        <f t="array" ref="R48">_xlfn.IFS(L48&gt;=20,"Bulk",L48&gt;=10,"Medium",L48&lt;10,"Low")</f>
        <v>Medium</v>
      </c>
      <c r="S48" t="str" cm="1">
        <f t="array" ref="S48">_xlfn.IFS(O48&gt;30000,"Premium",30000&lt;O48&gt;10000,"Standard",O48&lt;10000,"Budget")</f>
        <v>Premium</v>
      </c>
    </row>
    <row r="49" spans="1:19" x14ac:dyDescent="0.35">
      <c r="A49" s="1">
        <v>45313</v>
      </c>
      <c r="B49" t="s">
        <v>37</v>
      </c>
      <c r="C49" t="s">
        <v>25</v>
      </c>
      <c r="D49" t="s">
        <v>19</v>
      </c>
      <c r="E49">
        <v>30</v>
      </c>
      <c r="F49">
        <v>11376</v>
      </c>
      <c r="H49">
        <v>341280</v>
      </c>
      <c r="I49" t="str">
        <f t="shared" si="2"/>
        <v>Ishita</v>
      </c>
      <c r="J49" t="str">
        <f t="shared" si="3"/>
        <v>Northwest</v>
      </c>
      <c r="K49" t="str">
        <f t="shared" si="4"/>
        <v>Monitor</v>
      </c>
      <c r="L49">
        <f t="shared" si="5"/>
        <v>30</v>
      </c>
      <c r="M49">
        <f t="shared" si="6"/>
        <v>11376</v>
      </c>
      <c r="N49" s="2">
        <f t="shared" si="7"/>
        <v>0</v>
      </c>
      <c r="O49">
        <f t="shared" si="8"/>
        <v>341280</v>
      </c>
      <c r="P49" t="str">
        <f t="shared" si="9"/>
        <v>High Value</v>
      </c>
      <c r="Q49" t="str">
        <f t="shared" si="10"/>
        <v>No</v>
      </c>
      <c r="R49" t="str" cm="1">
        <f t="array" ref="R49">_xlfn.IFS(L49&gt;=20,"Bulk",L49&gt;=10,"Medium",L49&lt;10,"Low")</f>
        <v>Bulk</v>
      </c>
      <c r="S49" t="str" cm="1">
        <f t="array" ref="S49">_xlfn.IFS(O49&gt;30000,"Premium",30000&lt;O49&gt;10000,"Standard",O49&lt;10000,"Budget")</f>
        <v>Premium</v>
      </c>
    </row>
    <row r="50" spans="1:19" x14ac:dyDescent="0.35">
      <c r="A50" s="1">
        <v>45341</v>
      </c>
      <c r="B50" t="s">
        <v>50</v>
      </c>
      <c r="C50" t="s">
        <v>13</v>
      </c>
      <c r="D50" t="s">
        <v>23</v>
      </c>
      <c r="E50">
        <v>11</v>
      </c>
      <c r="F50">
        <v>47234</v>
      </c>
      <c r="G50">
        <v>10</v>
      </c>
      <c r="H50">
        <v>467616.6</v>
      </c>
      <c r="I50" t="str">
        <f t="shared" si="2"/>
        <v>Omkar</v>
      </c>
      <c r="J50" t="str">
        <f t="shared" si="3"/>
        <v>Northeast</v>
      </c>
      <c r="K50" t="str">
        <f t="shared" si="4"/>
        <v>Laptop</v>
      </c>
      <c r="L50">
        <f t="shared" si="5"/>
        <v>11</v>
      </c>
      <c r="M50">
        <f t="shared" si="6"/>
        <v>47234</v>
      </c>
      <c r="N50" s="2">
        <f t="shared" si="7"/>
        <v>10</v>
      </c>
      <c r="O50">
        <f t="shared" si="8"/>
        <v>467616.6</v>
      </c>
      <c r="P50" t="str">
        <f t="shared" si="9"/>
        <v>High Value</v>
      </c>
      <c r="Q50" t="str">
        <f t="shared" si="10"/>
        <v>Yes</v>
      </c>
      <c r="R50" t="str" cm="1">
        <f t="array" ref="R50">_xlfn.IFS(L50&gt;=20,"Bulk",L50&gt;=10,"Medium",L50&lt;10,"Low")</f>
        <v>Medium</v>
      </c>
      <c r="S50" t="str" cm="1">
        <f t="array" ref="S50">_xlfn.IFS(O50&gt;30000,"Premium",30000&lt;O50&gt;10000,"Standard",O50&lt;10000,"Budget")</f>
        <v>Premium</v>
      </c>
    </row>
    <row r="51" spans="1:19" x14ac:dyDescent="0.35">
      <c r="A51" s="1">
        <v>45399</v>
      </c>
      <c r="B51" t="s">
        <v>15</v>
      </c>
      <c r="C51" t="s">
        <v>20</v>
      </c>
      <c r="D51" t="s">
        <v>21</v>
      </c>
      <c r="E51">
        <v>10</v>
      </c>
      <c r="F51">
        <v>-395</v>
      </c>
      <c r="G51">
        <v>15</v>
      </c>
      <c r="H51">
        <v>-3357.5</v>
      </c>
      <c r="I51" t="str">
        <f t="shared" si="2"/>
        <v>Rahul</v>
      </c>
      <c r="J51" t="str">
        <f t="shared" si="3"/>
        <v>Southwest</v>
      </c>
      <c r="K51" t="str">
        <f t="shared" si="4"/>
        <v>Webcam</v>
      </c>
      <c r="L51">
        <f t="shared" si="5"/>
        <v>10</v>
      </c>
      <c r="M51">
        <f t="shared" si="6"/>
        <v>395</v>
      </c>
      <c r="N51" s="2">
        <f t="shared" si="7"/>
        <v>15</v>
      </c>
      <c r="O51">
        <f t="shared" si="8"/>
        <v>3357.5</v>
      </c>
      <c r="P51" t="str">
        <f t="shared" si="9"/>
        <v>Normal Sale</v>
      </c>
      <c r="Q51" t="str">
        <f t="shared" si="10"/>
        <v>Yes</v>
      </c>
      <c r="R51" t="str" cm="1">
        <f t="array" ref="R51">_xlfn.IFS(L51&gt;=20,"Bulk",L51&gt;=10,"Medium",L51&lt;10,"Low")</f>
        <v>Medium</v>
      </c>
      <c r="S51" t="str" cm="1">
        <f t="array" ref="S51">_xlfn.IFS(O51&gt;30000,"Premium",30000&lt;O51&gt;10000,"Standard",O51&lt;10000,"Budget")</f>
        <v>Standard</v>
      </c>
    </row>
    <row r="52" spans="1:19" x14ac:dyDescent="0.35">
      <c r="A52" s="1">
        <v>45348</v>
      </c>
      <c r="B52" t="s">
        <v>33</v>
      </c>
      <c r="C52" t="s">
        <v>36</v>
      </c>
      <c r="D52" t="s">
        <v>38</v>
      </c>
      <c r="E52">
        <v>19</v>
      </c>
      <c r="F52">
        <v>27349</v>
      </c>
      <c r="G52">
        <v>10</v>
      </c>
      <c r="H52">
        <v>467667.9</v>
      </c>
      <c r="I52" t="str">
        <f t="shared" si="2"/>
        <v>Siddharth</v>
      </c>
      <c r="J52" t="str">
        <f t="shared" si="3"/>
        <v>West</v>
      </c>
      <c r="K52" t="str">
        <f t="shared" si="4"/>
        <v>Smartphone</v>
      </c>
      <c r="L52">
        <f t="shared" si="5"/>
        <v>19</v>
      </c>
      <c r="M52">
        <f t="shared" si="6"/>
        <v>27349</v>
      </c>
      <c r="N52" s="2">
        <f t="shared" si="7"/>
        <v>10</v>
      </c>
      <c r="O52">
        <f t="shared" si="8"/>
        <v>467667.9</v>
      </c>
      <c r="P52" t="str">
        <f t="shared" si="9"/>
        <v>High Value</v>
      </c>
      <c r="Q52" t="str">
        <f t="shared" si="10"/>
        <v>Yes</v>
      </c>
      <c r="R52" t="str" cm="1">
        <f t="array" ref="R52">_xlfn.IFS(L52&gt;=20,"Bulk",L52&gt;=10,"Medium",L52&lt;10,"Low")</f>
        <v>Medium</v>
      </c>
      <c r="S52" t="str" cm="1">
        <f t="array" ref="S52">_xlfn.IFS(O52&gt;30000,"Premium",30000&lt;O52&gt;10000,"Standard",O52&lt;10000,"Budget")</f>
        <v>Premium</v>
      </c>
    </row>
    <row r="53" spans="1:19" x14ac:dyDescent="0.35">
      <c r="A53" s="1">
        <v>45358</v>
      </c>
      <c r="B53" t="s">
        <v>44</v>
      </c>
      <c r="C53" t="s">
        <v>20</v>
      </c>
      <c r="D53" t="s">
        <v>17</v>
      </c>
      <c r="E53">
        <v>8</v>
      </c>
      <c r="G53">
        <v>0</v>
      </c>
      <c r="H53">
        <v>51976</v>
      </c>
      <c r="I53" t="str">
        <f t="shared" si="2"/>
        <v>Ritika</v>
      </c>
      <c r="J53" t="str">
        <f t="shared" si="3"/>
        <v>Southwest</v>
      </c>
      <c r="K53" t="str">
        <f t="shared" si="4"/>
        <v>Router</v>
      </c>
      <c r="L53">
        <f t="shared" si="5"/>
        <v>8</v>
      </c>
      <c r="M53">
        <f t="shared" si="6"/>
        <v>0</v>
      </c>
      <c r="N53" s="2">
        <f t="shared" si="7"/>
        <v>0</v>
      </c>
      <c r="O53">
        <f t="shared" si="8"/>
        <v>51976</v>
      </c>
      <c r="P53" t="str">
        <f t="shared" si="9"/>
        <v>High Value</v>
      </c>
      <c r="Q53" t="str">
        <f t="shared" si="10"/>
        <v>No</v>
      </c>
      <c r="R53" t="str" cm="1">
        <f t="array" ref="R53">_xlfn.IFS(L53&gt;=20,"Bulk",L53&gt;=10,"Medium",L53&lt;10,"Low")</f>
        <v>Low</v>
      </c>
      <c r="S53" t="str" cm="1">
        <f t="array" ref="S53">_xlfn.IFS(O53&gt;30000,"Premium",30000&lt;O53&gt;10000,"Standard",O53&lt;10000,"Budget")</f>
        <v>Premium</v>
      </c>
    </row>
    <row r="54" spans="1:19" x14ac:dyDescent="0.35">
      <c r="A54" s="1">
        <v>45452</v>
      </c>
      <c r="B54" t="s">
        <v>47</v>
      </c>
      <c r="D54" t="s">
        <v>32</v>
      </c>
      <c r="E54">
        <v>12</v>
      </c>
      <c r="F54">
        <v>193</v>
      </c>
      <c r="G54">
        <v>15</v>
      </c>
      <c r="H54">
        <v>1968.6</v>
      </c>
      <c r="I54" t="str">
        <f t="shared" si="2"/>
        <v>Tanya</v>
      </c>
      <c r="J54" t="str">
        <f t="shared" si="3"/>
        <v>Unknown</v>
      </c>
      <c r="K54" t="str">
        <f t="shared" si="4"/>
        <v>Headphones</v>
      </c>
      <c r="L54">
        <f t="shared" si="5"/>
        <v>12</v>
      </c>
      <c r="M54">
        <f t="shared" si="6"/>
        <v>193</v>
      </c>
      <c r="N54" s="2">
        <f t="shared" si="7"/>
        <v>15</v>
      </c>
      <c r="O54">
        <f t="shared" si="8"/>
        <v>1968.6</v>
      </c>
      <c r="P54" t="str">
        <f t="shared" si="9"/>
        <v>Normal Sale</v>
      </c>
      <c r="Q54" t="str">
        <f t="shared" si="10"/>
        <v>Yes</v>
      </c>
      <c r="R54" t="str" cm="1">
        <f t="array" ref="R54">_xlfn.IFS(L54&gt;=20,"Bulk",L54&gt;=10,"Medium",L54&lt;10,"Low")</f>
        <v>Medium</v>
      </c>
      <c r="S54" t="str" cm="1">
        <f t="array" ref="S54">_xlfn.IFS(O54&gt;30000,"Premium",30000&lt;O54&gt;10000,"Standard",O54&lt;10000,"Budget")</f>
        <v>Standard</v>
      </c>
    </row>
    <row r="55" spans="1:19" x14ac:dyDescent="0.35">
      <c r="A55" s="1">
        <v>45424</v>
      </c>
      <c r="B55" t="s">
        <v>50</v>
      </c>
      <c r="C55" t="s">
        <v>34</v>
      </c>
      <c r="D55" t="s">
        <v>14</v>
      </c>
      <c r="E55">
        <v>9</v>
      </c>
      <c r="F55">
        <v>-501</v>
      </c>
      <c r="G55">
        <v>20</v>
      </c>
      <c r="H55">
        <v>-3607.2</v>
      </c>
      <c r="I55" t="str">
        <f t="shared" si="2"/>
        <v>Omkar</v>
      </c>
      <c r="J55" t="str">
        <f t="shared" si="3"/>
        <v>East</v>
      </c>
      <c r="K55" t="str">
        <f t="shared" si="4"/>
        <v>Mouse</v>
      </c>
      <c r="L55">
        <f t="shared" si="5"/>
        <v>9</v>
      </c>
      <c r="M55">
        <f t="shared" si="6"/>
        <v>501</v>
      </c>
      <c r="N55" s="2">
        <f t="shared" si="7"/>
        <v>20</v>
      </c>
      <c r="O55">
        <f t="shared" si="8"/>
        <v>3607.2</v>
      </c>
      <c r="P55" t="str">
        <f t="shared" si="9"/>
        <v>Normal Sale</v>
      </c>
      <c r="Q55" t="str">
        <f t="shared" si="10"/>
        <v>Yes</v>
      </c>
      <c r="R55" t="str" cm="1">
        <f t="array" ref="R55">_xlfn.IFS(L55&gt;=20,"Bulk",L55&gt;=10,"Medium",L55&lt;10,"Low")</f>
        <v>Low</v>
      </c>
      <c r="S55" t="str" cm="1">
        <f t="array" ref="S55">_xlfn.IFS(O55&gt;30000,"Premium",30000&lt;O55&gt;10000,"Standard",O55&lt;10000,"Budget")</f>
        <v>Standard</v>
      </c>
    </row>
    <row r="56" spans="1:19" x14ac:dyDescent="0.35">
      <c r="A56" s="1">
        <v>45403</v>
      </c>
      <c r="B56" t="s">
        <v>27</v>
      </c>
      <c r="C56" t="s">
        <v>11</v>
      </c>
      <c r="D56" t="s">
        <v>42</v>
      </c>
      <c r="F56">
        <v>17803</v>
      </c>
      <c r="G56">
        <v>20</v>
      </c>
      <c r="H56">
        <v>384544.8</v>
      </c>
      <c r="I56" t="str">
        <f t="shared" si="2"/>
        <v>Lakshmi</v>
      </c>
      <c r="J56" t="str">
        <f t="shared" si="3"/>
        <v>South</v>
      </c>
      <c r="K56" t="str">
        <f t="shared" si="4"/>
        <v>Tablet</v>
      </c>
      <c r="L56">
        <f t="shared" si="5"/>
        <v>0</v>
      </c>
      <c r="M56">
        <f t="shared" si="6"/>
        <v>17803</v>
      </c>
      <c r="N56" s="2">
        <f t="shared" si="7"/>
        <v>20</v>
      </c>
      <c r="O56">
        <f t="shared" si="8"/>
        <v>384544.8</v>
      </c>
      <c r="P56" t="str">
        <f t="shared" si="9"/>
        <v>High Value</v>
      </c>
      <c r="Q56" t="str">
        <f t="shared" si="10"/>
        <v>Yes</v>
      </c>
      <c r="R56" t="str" cm="1">
        <f t="array" ref="R56">_xlfn.IFS(L56&gt;=20,"Bulk",L56&gt;=10,"Medium",L56&lt;10,"Low")</f>
        <v>Low</v>
      </c>
      <c r="S56" t="str" cm="1">
        <f t="array" ref="S56">_xlfn.IFS(O56&gt;30000,"Premium",30000&lt;O56&gt;10000,"Standard",O56&lt;10000,"Budget")</f>
        <v>Premium</v>
      </c>
    </row>
    <row r="57" spans="1:19" x14ac:dyDescent="0.35">
      <c r="A57" s="1">
        <v>45351</v>
      </c>
      <c r="B57" t="s">
        <v>39</v>
      </c>
      <c r="C57" t="s">
        <v>25</v>
      </c>
      <c r="D57" t="s">
        <v>28</v>
      </c>
      <c r="E57">
        <v>15</v>
      </c>
      <c r="F57">
        <v>5056</v>
      </c>
      <c r="G57">
        <v>10</v>
      </c>
      <c r="H57">
        <v>68256</v>
      </c>
      <c r="I57" t="str">
        <f t="shared" si="2"/>
        <v>Karan</v>
      </c>
      <c r="J57" t="str">
        <f t="shared" si="3"/>
        <v>Northwest</v>
      </c>
      <c r="K57" t="str">
        <f t="shared" si="4"/>
        <v>Speaker</v>
      </c>
      <c r="L57">
        <f t="shared" si="5"/>
        <v>15</v>
      </c>
      <c r="M57">
        <f t="shared" si="6"/>
        <v>5056</v>
      </c>
      <c r="N57" s="2">
        <f t="shared" si="7"/>
        <v>10</v>
      </c>
      <c r="O57">
        <f t="shared" si="8"/>
        <v>68256</v>
      </c>
      <c r="P57" t="str">
        <f t="shared" si="9"/>
        <v>High Value</v>
      </c>
      <c r="Q57" t="str">
        <f t="shared" si="10"/>
        <v>Yes</v>
      </c>
      <c r="R57" t="str" cm="1">
        <f t="array" ref="R57">_xlfn.IFS(L57&gt;=20,"Bulk",L57&gt;=10,"Medium",L57&lt;10,"Low")</f>
        <v>Medium</v>
      </c>
      <c r="S57" t="str" cm="1">
        <f t="array" ref="S57">_xlfn.IFS(O57&gt;30000,"Premium",30000&lt;O57&gt;10000,"Standard",O57&lt;10000,"Budget")</f>
        <v>Premium</v>
      </c>
    </row>
    <row r="58" spans="1:19" x14ac:dyDescent="0.35">
      <c r="A58" s="1">
        <v>45537</v>
      </c>
      <c r="B58" t="s">
        <v>48</v>
      </c>
      <c r="C58" t="s">
        <v>11</v>
      </c>
      <c r="D58" t="s">
        <v>28</v>
      </c>
      <c r="E58">
        <v>13</v>
      </c>
      <c r="F58">
        <v>2770</v>
      </c>
      <c r="G58">
        <v>20</v>
      </c>
      <c r="H58">
        <v>28808</v>
      </c>
      <c r="I58" t="str">
        <f t="shared" si="2"/>
        <v>Zara</v>
      </c>
      <c r="J58" t="str">
        <f t="shared" si="3"/>
        <v>South</v>
      </c>
      <c r="K58" t="str">
        <f t="shared" si="4"/>
        <v>Speaker</v>
      </c>
      <c r="L58">
        <f t="shared" si="5"/>
        <v>13</v>
      </c>
      <c r="M58">
        <f t="shared" si="6"/>
        <v>2770</v>
      </c>
      <c r="N58" s="2">
        <f t="shared" si="7"/>
        <v>20</v>
      </c>
      <c r="O58">
        <f t="shared" si="8"/>
        <v>28808</v>
      </c>
      <c r="P58" t="str">
        <f t="shared" si="9"/>
        <v>Normal Sale</v>
      </c>
      <c r="Q58" t="str">
        <f t="shared" si="10"/>
        <v>Yes</v>
      </c>
      <c r="R58" t="str" cm="1">
        <f t="array" ref="R58">_xlfn.IFS(L58&gt;=20,"Bulk",L58&gt;=10,"Medium",L58&lt;10,"Low")</f>
        <v>Medium</v>
      </c>
      <c r="S58" t="str" cm="1">
        <f t="array" ref="S58">_xlfn.IFS(O58&gt;30000,"Premium",30000&lt;O58&gt;10000,"Standard",O58&lt;10000,"Budget")</f>
        <v>Standard</v>
      </c>
    </row>
    <row r="59" spans="1:19" x14ac:dyDescent="0.35">
      <c r="A59" s="1">
        <v>45608</v>
      </c>
      <c r="B59" t="s">
        <v>52</v>
      </c>
      <c r="C59" t="s">
        <v>40</v>
      </c>
      <c r="D59" t="s">
        <v>42</v>
      </c>
      <c r="E59">
        <v>27</v>
      </c>
      <c r="F59">
        <v>17209</v>
      </c>
      <c r="G59">
        <v>15</v>
      </c>
      <c r="H59">
        <v>394946.55</v>
      </c>
      <c r="I59" t="str">
        <f t="shared" si="2"/>
        <v>Rohan S</v>
      </c>
      <c r="J59" t="str">
        <f t="shared" si="3"/>
        <v>Central</v>
      </c>
      <c r="K59" t="str">
        <f t="shared" si="4"/>
        <v>Tablet</v>
      </c>
      <c r="L59">
        <f t="shared" si="5"/>
        <v>27</v>
      </c>
      <c r="M59">
        <f t="shared" si="6"/>
        <v>17209</v>
      </c>
      <c r="N59" s="2">
        <f t="shared" si="7"/>
        <v>15</v>
      </c>
      <c r="O59">
        <f t="shared" si="8"/>
        <v>394946.55</v>
      </c>
      <c r="P59" t="str">
        <f t="shared" si="9"/>
        <v>High Value</v>
      </c>
      <c r="Q59" t="str">
        <f t="shared" si="10"/>
        <v>Yes</v>
      </c>
      <c r="R59" t="str" cm="1">
        <f t="array" ref="R59">_xlfn.IFS(L59&gt;=20,"Bulk",L59&gt;=10,"Medium",L59&lt;10,"Low")</f>
        <v>Bulk</v>
      </c>
      <c r="S59" t="str" cm="1">
        <f t="array" ref="S59">_xlfn.IFS(O59&gt;30000,"Premium",30000&lt;O59&gt;10000,"Standard",O59&lt;10000,"Budget")</f>
        <v>Premium</v>
      </c>
    </row>
    <row r="60" spans="1:19" x14ac:dyDescent="0.35">
      <c r="A60" s="1">
        <v>45651</v>
      </c>
      <c r="B60" t="s">
        <v>54</v>
      </c>
      <c r="C60" t="s">
        <v>34</v>
      </c>
      <c r="D60" t="s">
        <v>30</v>
      </c>
      <c r="E60">
        <v>28</v>
      </c>
      <c r="F60">
        <v>3177</v>
      </c>
      <c r="G60">
        <v>20</v>
      </c>
      <c r="H60">
        <v>71164.800000000003</v>
      </c>
      <c r="I60" t="str">
        <f t="shared" si="2"/>
        <v>Harsh</v>
      </c>
      <c r="J60" t="str">
        <f t="shared" si="3"/>
        <v>East</v>
      </c>
      <c r="K60" t="str">
        <f t="shared" si="4"/>
        <v>Keyboard</v>
      </c>
      <c r="L60">
        <f t="shared" si="5"/>
        <v>28</v>
      </c>
      <c r="M60">
        <f t="shared" si="6"/>
        <v>3177</v>
      </c>
      <c r="N60" s="2">
        <f t="shared" si="7"/>
        <v>20</v>
      </c>
      <c r="O60">
        <f t="shared" si="8"/>
        <v>71164.800000000003</v>
      </c>
      <c r="P60" t="str">
        <f t="shared" si="9"/>
        <v>High Value</v>
      </c>
      <c r="Q60" t="str">
        <f t="shared" si="10"/>
        <v>Yes</v>
      </c>
      <c r="R60" t="str" cm="1">
        <f t="array" ref="R60">_xlfn.IFS(L60&gt;=20,"Bulk",L60&gt;=10,"Medium",L60&lt;10,"Low")</f>
        <v>Bulk</v>
      </c>
      <c r="S60" t="str" cm="1">
        <f t="array" ref="S60">_xlfn.IFS(O60&gt;30000,"Premium",30000&lt;O60&gt;10000,"Standard",O60&lt;10000,"Budget")</f>
        <v>Premium</v>
      </c>
    </row>
    <row r="61" spans="1:19" x14ac:dyDescent="0.35">
      <c r="A61" s="1">
        <v>45654</v>
      </c>
      <c r="B61" t="s">
        <v>35</v>
      </c>
      <c r="C61" t="s">
        <v>41</v>
      </c>
      <c r="D61" t="s">
        <v>17</v>
      </c>
      <c r="E61">
        <v>16</v>
      </c>
      <c r="F61">
        <v>5091</v>
      </c>
      <c r="G61">
        <v>20</v>
      </c>
      <c r="H61">
        <v>65164.800000000003</v>
      </c>
      <c r="I61" t="str">
        <f t="shared" si="2"/>
        <v>Aisha</v>
      </c>
      <c r="J61" t="str">
        <f t="shared" si="3"/>
        <v>Southeast</v>
      </c>
      <c r="K61" t="str">
        <f t="shared" si="4"/>
        <v>Router</v>
      </c>
      <c r="L61">
        <f t="shared" si="5"/>
        <v>16</v>
      </c>
      <c r="M61">
        <f t="shared" si="6"/>
        <v>5091</v>
      </c>
      <c r="N61" s="2">
        <f t="shared" si="7"/>
        <v>20</v>
      </c>
      <c r="O61">
        <f t="shared" si="8"/>
        <v>65164.800000000003</v>
      </c>
      <c r="P61" t="str">
        <f t="shared" si="9"/>
        <v>High Value</v>
      </c>
      <c r="Q61" t="str">
        <f t="shared" si="10"/>
        <v>Yes</v>
      </c>
      <c r="R61" t="str" cm="1">
        <f t="array" ref="R61">_xlfn.IFS(L61&gt;=20,"Bulk",L61&gt;=10,"Medium",L61&lt;10,"Low")</f>
        <v>Medium</v>
      </c>
      <c r="S61" t="str" cm="1">
        <f t="array" ref="S61">_xlfn.IFS(O61&gt;30000,"Premium",30000&lt;O61&gt;10000,"Standard",O61&lt;10000,"Budget")</f>
        <v>Premium</v>
      </c>
    </row>
    <row r="62" spans="1:19" x14ac:dyDescent="0.35">
      <c r="A62" s="1">
        <v>45440</v>
      </c>
      <c r="B62" t="s">
        <v>48</v>
      </c>
      <c r="C62" t="s">
        <v>20</v>
      </c>
      <c r="D62" t="s">
        <v>30</v>
      </c>
      <c r="E62">
        <v>19</v>
      </c>
      <c r="F62">
        <v>4436</v>
      </c>
      <c r="G62">
        <v>15</v>
      </c>
      <c r="H62">
        <v>71641.399999999994</v>
      </c>
      <c r="I62" t="str">
        <f t="shared" si="2"/>
        <v>Zara</v>
      </c>
      <c r="J62" t="str">
        <f t="shared" si="3"/>
        <v>Southwest</v>
      </c>
      <c r="K62" t="str">
        <f t="shared" si="4"/>
        <v>Keyboard</v>
      </c>
      <c r="L62">
        <f t="shared" si="5"/>
        <v>19</v>
      </c>
      <c r="M62">
        <f t="shared" si="6"/>
        <v>4436</v>
      </c>
      <c r="N62" s="2">
        <f t="shared" si="7"/>
        <v>15</v>
      </c>
      <c r="O62">
        <f t="shared" si="8"/>
        <v>71641.399999999994</v>
      </c>
      <c r="P62" t="str">
        <f t="shared" si="9"/>
        <v>High Value</v>
      </c>
      <c r="Q62" t="str">
        <f t="shared" si="10"/>
        <v>Yes</v>
      </c>
      <c r="R62" t="str" cm="1">
        <f t="array" ref="R62">_xlfn.IFS(L62&gt;=20,"Bulk",L62&gt;=10,"Medium",L62&lt;10,"Low")</f>
        <v>Medium</v>
      </c>
      <c r="S62" t="str" cm="1">
        <f t="array" ref="S62">_xlfn.IFS(O62&gt;30000,"Premium",30000&lt;O62&gt;10000,"Standard",O62&lt;10000,"Budget")</f>
        <v>Premium</v>
      </c>
    </row>
    <row r="63" spans="1:19" x14ac:dyDescent="0.35">
      <c r="A63" s="1">
        <v>45623</v>
      </c>
      <c r="B63" t="s">
        <v>47</v>
      </c>
      <c r="D63" t="s">
        <v>38</v>
      </c>
      <c r="E63">
        <v>21</v>
      </c>
      <c r="F63">
        <v>26582</v>
      </c>
      <c r="G63">
        <v>10</v>
      </c>
      <c r="H63">
        <v>502399.8</v>
      </c>
      <c r="I63" t="str">
        <f t="shared" si="2"/>
        <v>Tanya</v>
      </c>
      <c r="J63" t="str">
        <f t="shared" si="3"/>
        <v>Unknown</v>
      </c>
      <c r="K63" t="str">
        <f t="shared" si="4"/>
        <v>Smartphone</v>
      </c>
      <c r="L63">
        <f t="shared" si="5"/>
        <v>21</v>
      </c>
      <c r="M63">
        <f t="shared" si="6"/>
        <v>26582</v>
      </c>
      <c r="N63" s="2">
        <f t="shared" si="7"/>
        <v>10</v>
      </c>
      <c r="O63">
        <f t="shared" si="8"/>
        <v>502399.8</v>
      </c>
      <c r="P63" t="str">
        <f t="shared" si="9"/>
        <v>High Value</v>
      </c>
      <c r="Q63" t="str">
        <f t="shared" si="10"/>
        <v>Yes</v>
      </c>
      <c r="R63" t="str" cm="1">
        <f t="array" ref="R63">_xlfn.IFS(L63&gt;=20,"Bulk",L63&gt;=10,"Medium",L63&lt;10,"Low")</f>
        <v>Bulk</v>
      </c>
      <c r="S63" t="str" cm="1">
        <f t="array" ref="S63">_xlfn.IFS(O63&gt;30000,"Premium",30000&lt;O63&gt;10000,"Standard",O63&lt;10000,"Budget")</f>
        <v>Premium</v>
      </c>
    </row>
    <row r="64" spans="1:19" x14ac:dyDescent="0.35">
      <c r="A64" s="1">
        <v>45523</v>
      </c>
      <c r="B64" t="s">
        <v>55</v>
      </c>
      <c r="C64" t="s">
        <v>11</v>
      </c>
      <c r="D64" t="s">
        <v>19</v>
      </c>
      <c r="E64">
        <v>18</v>
      </c>
      <c r="F64">
        <v>14629</v>
      </c>
      <c r="G64">
        <v>5</v>
      </c>
      <c r="H64">
        <v>250155.9</v>
      </c>
      <c r="I64" t="str">
        <f t="shared" si="2"/>
        <v>Meera</v>
      </c>
      <c r="J64" t="str">
        <f t="shared" si="3"/>
        <v>South</v>
      </c>
      <c r="K64" t="str">
        <f t="shared" si="4"/>
        <v>Monitor</v>
      </c>
      <c r="L64">
        <f t="shared" si="5"/>
        <v>18</v>
      </c>
      <c r="M64">
        <f t="shared" si="6"/>
        <v>14629</v>
      </c>
      <c r="N64" s="2">
        <f t="shared" si="7"/>
        <v>5</v>
      </c>
      <c r="O64">
        <f t="shared" si="8"/>
        <v>250155.9</v>
      </c>
      <c r="P64" t="str">
        <f t="shared" si="9"/>
        <v>High Value</v>
      </c>
      <c r="Q64" t="str">
        <f t="shared" si="10"/>
        <v>Yes</v>
      </c>
      <c r="R64" t="str" cm="1">
        <f t="array" ref="R64">_xlfn.IFS(L64&gt;=20,"Bulk",L64&gt;=10,"Medium",L64&lt;10,"Low")</f>
        <v>Medium</v>
      </c>
      <c r="S64" t="str" cm="1">
        <f t="array" ref="S64">_xlfn.IFS(O64&gt;30000,"Premium",30000&lt;O64&gt;10000,"Standard",O64&lt;10000,"Budget")</f>
        <v>Premium</v>
      </c>
    </row>
    <row r="65" spans="1:19" x14ac:dyDescent="0.35">
      <c r="A65" s="1">
        <v>45501</v>
      </c>
      <c r="B65" t="s">
        <v>33</v>
      </c>
      <c r="C65" t="s">
        <v>11</v>
      </c>
      <c r="D65" t="s">
        <v>53</v>
      </c>
      <c r="E65">
        <v>21</v>
      </c>
      <c r="F65">
        <v>167</v>
      </c>
      <c r="G65">
        <v>20</v>
      </c>
      <c r="H65">
        <v>2805.6</v>
      </c>
      <c r="I65" t="str">
        <f t="shared" si="2"/>
        <v>Siddharth</v>
      </c>
      <c r="J65" t="str">
        <f t="shared" si="3"/>
        <v>South</v>
      </c>
      <c r="K65" t="str">
        <f t="shared" si="4"/>
        <v>Charger</v>
      </c>
      <c r="L65">
        <f t="shared" si="5"/>
        <v>21</v>
      </c>
      <c r="M65">
        <f t="shared" si="6"/>
        <v>167</v>
      </c>
      <c r="N65" s="2">
        <f t="shared" si="7"/>
        <v>20</v>
      </c>
      <c r="O65">
        <f t="shared" si="8"/>
        <v>2805.6</v>
      </c>
      <c r="P65" t="str">
        <f t="shared" si="9"/>
        <v>Normal Sale</v>
      </c>
      <c r="Q65" t="str">
        <f t="shared" si="10"/>
        <v>Yes</v>
      </c>
      <c r="R65" t="str" cm="1">
        <f t="array" ref="R65">_xlfn.IFS(L65&gt;=20,"Bulk",L65&gt;=10,"Medium",L65&lt;10,"Low")</f>
        <v>Bulk</v>
      </c>
      <c r="S65" t="str" cm="1">
        <f t="array" ref="S65">_xlfn.IFS(O65&gt;30000,"Premium",30000&lt;O65&gt;10000,"Standard",O65&lt;10000,"Budget")</f>
        <v>Standard</v>
      </c>
    </row>
    <row r="66" spans="1:19" x14ac:dyDescent="0.35">
      <c r="A66" s="1">
        <v>45329</v>
      </c>
      <c r="B66" t="s">
        <v>55</v>
      </c>
      <c r="C66" t="s">
        <v>36</v>
      </c>
      <c r="D66" t="s">
        <v>53</v>
      </c>
      <c r="E66">
        <v>24</v>
      </c>
      <c r="F66">
        <v>3205</v>
      </c>
      <c r="G66">
        <v>0</v>
      </c>
      <c r="H66">
        <v>76920</v>
      </c>
      <c r="I66" t="str">
        <f t="shared" si="2"/>
        <v>Meera</v>
      </c>
      <c r="J66" t="str">
        <f t="shared" si="3"/>
        <v>West</v>
      </c>
      <c r="K66" t="str">
        <f t="shared" si="4"/>
        <v>Charger</v>
      </c>
      <c r="L66">
        <f t="shared" si="5"/>
        <v>24</v>
      </c>
      <c r="M66">
        <f t="shared" si="6"/>
        <v>3205</v>
      </c>
      <c r="N66" s="2">
        <f t="shared" si="7"/>
        <v>0</v>
      </c>
      <c r="O66">
        <f t="shared" si="8"/>
        <v>76920</v>
      </c>
      <c r="P66" t="str">
        <f t="shared" si="9"/>
        <v>High Value</v>
      </c>
      <c r="Q66" t="str">
        <f t="shared" si="10"/>
        <v>No</v>
      </c>
      <c r="R66" t="str" cm="1">
        <f t="array" ref="R66">_xlfn.IFS(L66&gt;=20,"Bulk",L66&gt;=10,"Medium",L66&lt;10,"Low")</f>
        <v>Bulk</v>
      </c>
      <c r="S66" t="str" cm="1">
        <f t="array" ref="S66">_xlfn.IFS(O66&gt;30000,"Premium",30000&lt;O66&gt;10000,"Standard",O66&lt;10000,"Budget")</f>
        <v>Premium</v>
      </c>
    </row>
    <row r="67" spans="1:19" x14ac:dyDescent="0.35">
      <c r="A67" s="1">
        <v>45370</v>
      </c>
      <c r="B67" t="s">
        <v>18</v>
      </c>
      <c r="D67" t="s">
        <v>21</v>
      </c>
      <c r="F67">
        <v>3431</v>
      </c>
      <c r="G67">
        <v>5</v>
      </c>
      <c r="H67">
        <v>48891.75</v>
      </c>
      <c r="I67" t="str">
        <f t="shared" ref="I67:I130" si="12">IF(TRIM(CLEAN(B67))="", "Unknown", TRIM(CLEAN(B67)))</f>
        <v>Arjun</v>
      </c>
      <c r="J67" t="str">
        <f t="shared" ref="J67:J130" si="13">IF(TRIM(CLEAN(C67))="", "Unknown", TRIM(CLEAN(C67)))</f>
        <v>Unknown</v>
      </c>
      <c r="K67" t="str">
        <f t="shared" ref="K67:K130" si="14">IF(TRIM(D67)="","Unknown",TRIM(D67))</f>
        <v>Webcam</v>
      </c>
      <c r="L67">
        <f t="shared" ref="L67:L130" si="15">IF(E67="", 0, IF(E67&lt;0, ABS(E67), E67))</f>
        <v>0</v>
      </c>
      <c r="M67">
        <f t="shared" ref="M67:M130" si="16">IF(F67="", 0, IF(F67&lt;0, ABS(F67), F67))</f>
        <v>3431</v>
      </c>
      <c r="N67" s="2">
        <f t="shared" ref="N67:N130" si="17">IF(G67="", 0, IF(G67&lt;0, ABS(G67), G67))</f>
        <v>5</v>
      </c>
      <c r="O67">
        <f t="shared" ref="O67:O130" si="18">IF(H67="", 0, IF(H67&lt;0, ABS(H67), H67))</f>
        <v>48891.75</v>
      </c>
      <c r="P67" t="str">
        <f t="shared" ref="P67:P130" si="19">IF(H67&gt;50000,"High Value","Normal Sale")</f>
        <v>Normal Sale</v>
      </c>
      <c r="Q67" t="str">
        <f t="shared" ref="Q67:Q130" si="20">IF(N67=0,"No","Yes")</f>
        <v>Yes</v>
      </c>
      <c r="R67" t="str" cm="1">
        <f t="array" ref="R67">_xlfn.IFS(L67&gt;=20,"Bulk",L67&gt;=10,"Medium",L67&lt;10,"Low")</f>
        <v>Low</v>
      </c>
      <c r="S67" t="str" cm="1">
        <f t="array" ref="S67">_xlfn.IFS(O67&gt;30000,"Premium",30000&lt;O67&gt;10000,"Standard",O67&lt;10000,"Budget")</f>
        <v>Premium</v>
      </c>
    </row>
    <row r="68" spans="1:19" x14ac:dyDescent="0.35">
      <c r="A68" s="1">
        <v>45492</v>
      </c>
      <c r="B68" t="s">
        <v>24</v>
      </c>
      <c r="C68" t="s">
        <v>16</v>
      </c>
      <c r="D68" t="s">
        <v>9</v>
      </c>
      <c r="E68">
        <v>1</v>
      </c>
      <c r="F68">
        <v>10667</v>
      </c>
      <c r="G68">
        <v>15</v>
      </c>
      <c r="H68">
        <v>9066.9500000000007</v>
      </c>
      <c r="I68" t="str">
        <f t="shared" si="12"/>
        <v>Sourav</v>
      </c>
      <c r="J68" t="str">
        <f t="shared" si="13"/>
        <v>North</v>
      </c>
      <c r="K68" t="str">
        <f t="shared" si="14"/>
        <v>Printer</v>
      </c>
      <c r="L68">
        <f t="shared" si="15"/>
        <v>1</v>
      </c>
      <c r="M68">
        <f t="shared" si="16"/>
        <v>10667</v>
      </c>
      <c r="N68" s="2">
        <f t="shared" si="17"/>
        <v>15</v>
      </c>
      <c r="O68">
        <f t="shared" si="18"/>
        <v>9066.9500000000007</v>
      </c>
      <c r="P68" t="str">
        <f t="shared" si="19"/>
        <v>Normal Sale</v>
      </c>
      <c r="Q68" t="str">
        <f t="shared" si="20"/>
        <v>Yes</v>
      </c>
      <c r="R68" t="str" cm="1">
        <f t="array" ref="R68">_xlfn.IFS(L68&gt;=20,"Bulk",L68&gt;=10,"Medium",L68&lt;10,"Low")</f>
        <v>Low</v>
      </c>
      <c r="S68" t="str" cm="1">
        <f t="array" ref="S68">_xlfn.IFS(O68&gt;30000,"Premium",30000&lt;O68&gt;10000,"Standard",O68&lt;10000,"Budget")</f>
        <v>Standard</v>
      </c>
    </row>
    <row r="69" spans="1:19" x14ac:dyDescent="0.35">
      <c r="A69" s="1">
        <v>45476</v>
      </c>
      <c r="B69" t="s">
        <v>29</v>
      </c>
      <c r="C69" t="s">
        <v>16</v>
      </c>
      <c r="D69" t="s">
        <v>38</v>
      </c>
      <c r="E69">
        <v>24</v>
      </c>
      <c r="F69">
        <v>23890</v>
      </c>
      <c r="G69">
        <v>20</v>
      </c>
      <c r="H69">
        <v>458688</v>
      </c>
      <c r="I69" t="str">
        <f t="shared" si="12"/>
        <v>Mihir</v>
      </c>
      <c r="J69" t="str">
        <f t="shared" si="13"/>
        <v>North</v>
      </c>
      <c r="K69" t="str">
        <f t="shared" si="14"/>
        <v>Smartphone</v>
      </c>
      <c r="L69">
        <f t="shared" si="15"/>
        <v>24</v>
      </c>
      <c r="M69">
        <f t="shared" si="16"/>
        <v>23890</v>
      </c>
      <c r="N69" s="2">
        <f t="shared" si="17"/>
        <v>20</v>
      </c>
      <c r="O69">
        <f t="shared" si="18"/>
        <v>458688</v>
      </c>
      <c r="P69" t="str">
        <f t="shared" si="19"/>
        <v>High Value</v>
      </c>
      <c r="Q69" t="str">
        <f t="shared" si="20"/>
        <v>Yes</v>
      </c>
      <c r="R69" t="str" cm="1">
        <f t="array" ref="R69">_xlfn.IFS(L69&gt;=20,"Bulk",L69&gt;=10,"Medium",L69&lt;10,"Low")</f>
        <v>Bulk</v>
      </c>
      <c r="S69" t="str" cm="1">
        <f t="array" ref="S69">_xlfn.IFS(O69&gt;30000,"Premium",30000&lt;O69&gt;10000,"Standard",O69&lt;10000,"Budget")</f>
        <v>Premium</v>
      </c>
    </row>
    <row r="70" spans="1:19" x14ac:dyDescent="0.35">
      <c r="A70" s="1">
        <v>45296</v>
      </c>
      <c r="B70" t="s">
        <v>47</v>
      </c>
      <c r="C70" t="s">
        <v>20</v>
      </c>
      <c r="D70" t="s">
        <v>42</v>
      </c>
      <c r="E70">
        <v>26</v>
      </c>
      <c r="F70">
        <v>22320</v>
      </c>
      <c r="G70">
        <v>0</v>
      </c>
      <c r="H70">
        <v>580320</v>
      </c>
      <c r="I70" t="str">
        <f t="shared" si="12"/>
        <v>Tanya</v>
      </c>
      <c r="J70" t="str">
        <f t="shared" si="13"/>
        <v>Southwest</v>
      </c>
      <c r="K70" t="str">
        <f t="shared" si="14"/>
        <v>Tablet</v>
      </c>
      <c r="L70">
        <f t="shared" si="15"/>
        <v>26</v>
      </c>
      <c r="M70">
        <f t="shared" si="16"/>
        <v>22320</v>
      </c>
      <c r="N70" s="2">
        <f t="shared" si="17"/>
        <v>0</v>
      </c>
      <c r="O70">
        <f t="shared" si="18"/>
        <v>580320</v>
      </c>
      <c r="P70" t="str">
        <f t="shared" si="19"/>
        <v>High Value</v>
      </c>
      <c r="Q70" t="str">
        <f t="shared" si="20"/>
        <v>No</v>
      </c>
      <c r="R70" t="str" cm="1">
        <f t="array" ref="R70">_xlfn.IFS(L70&gt;=20,"Bulk",L70&gt;=10,"Medium",L70&lt;10,"Low")</f>
        <v>Bulk</v>
      </c>
      <c r="S70" t="str" cm="1">
        <f t="array" ref="S70">_xlfn.IFS(O70&gt;30000,"Premium",30000&lt;O70&gt;10000,"Standard",O70&lt;10000,"Budget")</f>
        <v>Premium</v>
      </c>
    </row>
    <row r="71" spans="1:19" x14ac:dyDescent="0.35">
      <c r="A71" s="1">
        <v>45540</v>
      </c>
      <c r="B71" t="s">
        <v>49</v>
      </c>
      <c r="C71" t="s">
        <v>11</v>
      </c>
      <c r="D71" t="s">
        <v>21</v>
      </c>
      <c r="E71">
        <v>29</v>
      </c>
      <c r="F71">
        <v>723</v>
      </c>
      <c r="G71">
        <v>20</v>
      </c>
      <c r="H71">
        <v>16773.599999999999</v>
      </c>
      <c r="I71" t="str">
        <f t="shared" si="12"/>
        <v>Vivaan</v>
      </c>
      <c r="J71" t="str">
        <f t="shared" si="13"/>
        <v>South</v>
      </c>
      <c r="K71" t="str">
        <f t="shared" si="14"/>
        <v>Webcam</v>
      </c>
      <c r="L71">
        <f t="shared" si="15"/>
        <v>29</v>
      </c>
      <c r="M71">
        <f t="shared" si="16"/>
        <v>723</v>
      </c>
      <c r="N71" s="2">
        <f t="shared" si="17"/>
        <v>20</v>
      </c>
      <c r="O71">
        <f t="shared" si="18"/>
        <v>16773.599999999999</v>
      </c>
      <c r="P71" t="str">
        <f t="shared" si="19"/>
        <v>Normal Sale</v>
      </c>
      <c r="Q71" t="str">
        <f t="shared" si="20"/>
        <v>Yes</v>
      </c>
      <c r="R71" t="str" cm="1">
        <f t="array" ref="R71">_xlfn.IFS(L71&gt;=20,"Bulk",L71&gt;=10,"Medium",L71&lt;10,"Low")</f>
        <v>Bulk</v>
      </c>
      <c r="S71" t="str" cm="1">
        <f t="array" ref="S71">_xlfn.IFS(O71&gt;30000,"Premium",30000&lt;O71&gt;10000,"Standard",O71&lt;10000,"Budget")</f>
        <v>Standard</v>
      </c>
    </row>
    <row r="72" spans="1:19" x14ac:dyDescent="0.35">
      <c r="A72" s="1">
        <v>45560</v>
      </c>
      <c r="B72" t="s">
        <v>8</v>
      </c>
      <c r="C72" t="s">
        <v>20</v>
      </c>
      <c r="D72" t="s">
        <v>19</v>
      </c>
      <c r="F72">
        <v>9958</v>
      </c>
      <c r="H72">
        <v>19916</v>
      </c>
      <c r="I72" t="str">
        <f t="shared" si="12"/>
        <v>Neha</v>
      </c>
      <c r="J72" t="str">
        <f t="shared" si="13"/>
        <v>Southwest</v>
      </c>
      <c r="K72" t="str">
        <f t="shared" si="14"/>
        <v>Monitor</v>
      </c>
      <c r="L72">
        <f t="shared" si="15"/>
        <v>0</v>
      </c>
      <c r="M72">
        <f t="shared" si="16"/>
        <v>9958</v>
      </c>
      <c r="N72" s="2">
        <f t="shared" si="17"/>
        <v>0</v>
      </c>
      <c r="O72">
        <f t="shared" si="18"/>
        <v>19916</v>
      </c>
      <c r="P72" t="str">
        <f t="shared" si="19"/>
        <v>Normal Sale</v>
      </c>
      <c r="Q72" t="str">
        <f t="shared" si="20"/>
        <v>No</v>
      </c>
      <c r="R72" t="str" cm="1">
        <f t="array" ref="R72">_xlfn.IFS(L72&gt;=20,"Bulk",L72&gt;=10,"Medium",L72&lt;10,"Low")</f>
        <v>Low</v>
      </c>
      <c r="S72" t="str" cm="1">
        <f t="array" ref="S72">_xlfn.IFS(O72&gt;30000,"Premium",30000&lt;O72&gt;10000,"Standard",O72&lt;10000,"Budget")</f>
        <v>Standard</v>
      </c>
    </row>
    <row r="73" spans="1:19" x14ac:dyDescent="0.35">
      <c r="A73" s="1">
        <v>45364</v>
      </c>
      <c r="B73" t="s">
        <v>27</v>
      </c>
      <c r="C73" t="s">
        <v>20</v>
      </c>
      <c r="D73" t="s">
        <v>17</v>
      </c>
      <c r="E73">
        <v>15</v>
      </c>
      <c r="F73">
        <v>5441</v>
      </c>
      <c r="G73">
        <v>5</v>
      </c>
      <c r="H73">
        <v>77534.25</v>
      </c>
      <c r="I73" t="str">
        <f t="shared" si="12"/>
        <v>Lakshmi</v>
      </c>
      <c r="J73" t="str">
        <f t="shared" si="13"/>
        <v>Southwest</v>
      </c>
      <c r="K73" t="str">
        <f t="shared" si="14"/>
        <v>Router</v>
      </c>
      <c r="L73">
        <f t="shared" si="15"/>
        <v>15</v>
      </c>
      <c r="M73">
        <f t="shared" si="16"/>
        <v>5441</v>
      </c>
      <c r="N73" s="2">
        <f t="shared" si="17"/>
        <v>5</v>
      </c>
      <c r="O73">
        <f t="shared" si="18"/>
        <v>77534.25</v>
      </c>
      <c r="P73" t="str">
        <f t="shared" si="19"/>
        <v>High Value</v>
      </c>
      <c r="Q73" t="str">
        <f t="shared" si="20"/>
        <v>Yes</v>
      </c>
      <c r="R73" t="str" cm="1">
        <f t="array" ref="R73">_xlfn.IFS(L73&gt;=20,"Bulk",L73&gt;=10,"Medium",L73&lt;10,"Low")</f>
        <v>Medium</v>
      </c>
      <c r="S73" t="str" cm="1">
        <f t="array" ref="S73">_xlfn.IFS(O73&gt;30000,"Premium",30000&lt;O73&gt;10000,"Standard",O73&lt;10000,"Budget")</f>
        <v>Premium</v>
      </c>
    </row>
    <row r="74" spans="1:19" x14ac:dyDescent="0.35">
      <c r="A74" s="1">
        <v>45592</v>
      </c>
      <c r="C74" t="s">
        <v>13</v>
      </c>
      <c r="D74" t="s">
        <v>53</v>
      </c>
      <c r="F74">
        <v>433</v>
      </c>
      <c r="G74">
        <v>10</v>
      </c>
      <c r="H74">
        <v>11691</v>
      </c>
      <c r="I74" t="str">
        <f t="shared" si="12"/>
        <v>Unknown</v>
      </c>
      <c r="J74" t="str">
        <f t="shared" si="13"/>
        <v>Northeast</v>
      </c>
      <c r="K74" t="str">
        <f t="shared" si="14"/>
        <v>Charger</v>
      </c>
      <c r="L74">
        <f t="shared" si="15"/>
        <v>0</v>
      </c>
      <c r="M74">
        <f t="shared" si="16"/>
        <v>433</v>
      </c>
      <c r="N74" s="2">
        <f t="shared" si="17"/>
        <v>10</v>
      </c>
      <c r="O74">
        <f t="shared" si="18"/>
        <v>11691</v>
      </c>
      <c r="P74" t="str">
        <f t="shared" si="19"/>
        <v>Normal Sale</v>
      </c>
      <c r="Q74" t="str">
        <f t="shared" si="20"/>
        <v>Yes</v>
      </c>
      <c r="R74" t="str" cm="1">
        <f t="array" ref="R74">_xlfn.IFS(L74&gt;=20,"Bulk",L74&gt;=10,"Medium",L74&lt;10,"Low")</f>
        <v>Low</v>
      </c>
      <c r="S74" t="str" cm="1">
        <f t="array" ref="S74">_xlfn.IFS(O74&gt;30000,"Premium",30000&lt;O74&gt;10000,"Standard",O74&lt;10000,"Budget")</f>
        <v>Standard</v>
      </c>
    </row>
    <row r="75" spans="1:19" x14ac:dyDescent="0.35">
      <c r="A75" s="1">
        <v>45394</v>
      </c>
      <c r="B75" t="s">
        <v>54</v>
      </c>
      <c r="C75" t="s">
        <v>34</v>
      </c>
      <c r="D75" t="s">
        <v>53</v>
      </c>
      <c r="F75">
        <v>2227</v>
      </c>
      <c r="H75">
        <v>66810</v>
      </c>
      <c r="I75" t="str">
        <f t="shared" si="12"/>
        <v>Harsh</v>
      </c>
      <c r="J75" t="str">
        <f t="shared" si="13"/>
        <v>East</v>
      </c>
      <c r="K75" t="str">
        <f t="shared" si="14"/>
        <v>Charger</v>
      </c>
      <c r="L75">
        <f t="shared" si="15"/>
        <v>0</v>
      </c>
      <c r="M75">
        <f t="shared" si="16"/>
        <v>2227</v>
      </c>
      <c r="N75" s="2">
        <f t="shared" si="17"/>
        <v>0</v>
      </c>
      <c r="O75">
        <f t="shared" si="18"/>
        <v>66810</v>
      </c>
      <c r="P75" t="str">
        <f t="shared" si="19"/>
        <v>High Value</v>
      </c>
      <c r="Q75" t="str">
        <f t="shared" si="20"/>
        <v>No</v>
      </c>
      <c r="R75" t="str" cm="1">
        <f t="array" ref="R75">_xlfn.IFS(L75&gt;=20,"Bulk",L75&gt;=10,"Medium",L75&lt;10,"Low")</f>
        <v>Low</v>
      </c>
      <c r="S75" t="str" cm="1">
        <f t="array" ref="S75">_xlfn.IFS(O75&gt;30000,"Premium",30000&lt;O75&gt;10000,"Standard",O75&lt;10000,"Budget")</f>
        <v>Premium</v>
      </c>
    </row>
    <row r="76" spans="1:19" x14ac:dyDescent="0.35">
      <c r="A76" s="1">
        <v>45548</v>
      </c>
      <c r="B76" t="s">
        <v>27</v>
      </c>
      <c r="C76" t="s">
        <v>41</v>
      </c>
      <c r="D76" t="s">
        <v>21</v>
      </c>
      <c r="E76">
        <v>15</v>
      </c>
      <c r="F76">
        <v>4601</v>
      </c>
      <c r="G76">
        <v>20</v>
      </c>
      <c r="H76">
        <v>55212</v>
      </c>
      <c r="I76" t="str">
        <f t="shared" si="12"/>
        <v>Lakshmi</v>
      </c>
      <c r="J76" t="str">
        <f t="shared" si="13"/>
        <v>Southeast</v>
      </c>
      <c r="K76" t="str">
        <f t="shared" si="14"/>
        <v>Webcam</v>
      </c>
      <c r="L76">
        <f t="shared" si="15"/>
        <v>15</v>
      </c>
      <c r="M76">
        <f t="shared" si="16"/>
        <v>4601</v>
      </c>
      <c r="N76" s="2">
        <f t="shared" si="17"/>
        <v>20</v>
      </c>
      <c r="O76">
        <f t="shared" si="18"/>
        <v>55212</v>
      </c>
      <c r="P76" t="str">
        <f t="shared" si="19"/>
        <v>High Value</v>
      </c>
      <c r="Q76" t="str">
        <f t="shared" si="20"/>
        <v>Yes</v>
      </c>
      <c r="R76" t="str" cm="1">
        <f t="array" ref="R76">_xlfn.IFS(L76&gt;=20,"Bulk",L76&gt;=10,"Medium",L76&lt;10,"Low")</f>
        <v>Medium</v>
      </c>
      <c r="S76" t="str" cm="1">
        <f t="array" ref="S76">_xlfn.IFS(O76&gt;30000,"Premium",30000&lt;O76&gt;10000,"Standard",O76&lt;10000,"Budget")</f>
        <v>Premium</v>
      </c>
    </row>
    <row r="77" spans="1:19" x14ac:dyDescent="0.35">
      <c r="A77" s="1">
        <v>45574</v>
      </c>
      <c r="B77" t="s">
        <v>43</v>
      </c>
      <c r="C77" t="s">
        <v>25</v>
      </c>
      <c r="D77" t="s">
        <v>38</v>
      </c>
      <c r="E77">
        <v>3</v>
      </c>
      <c r="F77">
        <v>25995</v>
      </c>
      <c r="G77">
        <v>20</v>
      </c>
      <c r="H77">
        <v>62388</v>
      </c>
      <c r="I77" t="str">
        <f t="shared" si="12"/>
        <v>Nisha</v>
      </c>
      <c r="J77" t="str">
        <f t="shared" si="13"/>
        <v>Northwest</v>
      </c>
      <c r="K77" t="str">
        <f t="shared" si="14"/>
        <v>Smartphone</v>
      </c>
      <c r="L77">
        <f t="shared" si="15"/>
        <v>3</v>
      </c>
      <c r="M77">
        <f t="shared" si="16"/>
        <v>25995</v>
      </c>
      <c r="N77" s="2">
        <f t="shared" si="17"/>
        <v>20</v>
      </c>
      <c r="O77">
        <f t="shared" si="18"/>
        <v>62388</v>
      </c>
      <c r="P77" t="str">
        <f t="shared" si="19"/>
        <v>High Value</v>
      </c>
      <c r="Q77" t="str">
        <f t="shared" si="20"/>
        <v>Yes</v>
      </c>
      <c r="R77" t="str" cm="1">
        <f t="array" ref="R77">_xlfn.IFS(L77&gt;=20,"Bulk",L77&gt;=10,"Medium",L77&lt;10,"Low")</f>
        <v>Low</v>
      </c>
      <c r="S77" t="str" cm="1">
        <f t="array" ref="S77">_xlfn.IFS(O77&gt;30000,"Premium",30000&lt;O77&gt;10000,"Standard",O77&lt;10000,"Budget")</f>
        <v>Premium</v>
      </c>
    </row>
    <row r="78" spans="1:19" x14ac:dyDescent="0.35">
      <c r="A78" s="1">
        <v>45606</v>
      </c>
      <c r="B78" t="s">
        <v>35</v>
      </c>
      <c r="C78" t="s">
        <v>20</v>
      </c>
      <c r="D78" t="s">
        <v>53</v>
      </c>
      <c r="E78">
        <v>18</v>
      </c>
      <c r="F78">
        <v>-2124</v>
      </c>
      <c r="H78">
        <v>-38232</v>
      </c>
      <c r="I78" t="str">
        <f t="shared" si="12"/>
        <v>Aisha</v>
      </c>
      <c r="J78" t="str">
        <f t="shared" si="13"/>
        <v>Southwest</v>
      </c>
      <c r="K78" t="str">
        <f t="shared" si="14"/>
        <v>Charger</v>
      </c>
      <c r="L78">
        <f t="shared" si="15"/>
        <v>18</v>
      </c>
      <c r="M78">
        <f t="shared" si="16"/>
        <v>2124</v>
      </c>
      <c r="N78" s="2">
        <f t="shared" si="17"/>
        <v>0</v>
      </c>
      <c r="O78">
        <f t="shared" si="18"/>
        <v>38232</v>
      </c>
      <c r="P78" t="str">
        <f t="shared" si="19"/>
        <v>Normal Sale</v>
      </c>
      <c r="Q78" t="str">
        <f t="shared" si="20"/>
        <v>No</v>
      </c>
      <c r="R78" t="str" cm="1">
        <f t="array" ref="R78">_xlfn.IFS(L78&gt;=20,"Bulk",L78&gt;=10,"Medium",L78&lt;10,"Low")</f>
        <v>Medium</v>
      </c>
      <c r="S78" t="str" cm="1">
        <f t="array" ref="S78">_xlfn.IFS(O78&gt;30000,"Premium",30000&lt;O78&gt;10000,"Standard",O78&lt;10000,"Budget")</f>
        <v>Premium</v>
      </c>
    </row>
    <row r="79" spans="1:19" x14ac:dyDescent="0.35">
      <c r="A79" s="1">
        <v>45592</v>
      </c>
      <c r="B79" t="s">
        <v>49</v>
      </c>
      <c r="C79" t="s">
        <v>20</v>
      </c>
      <c r="D79" t="s">
        <v>53</v>
      </c>
      <c r="E79">
        <v>24</v>
      </c>
      <c r="F79">
        <v>-2211</v>
      </c>
      <c r="G79">
        <v>0</v>
      </c>
      <c r="H79">
        <v>-53064</v>
      </c>
      <c r="I79" t="str">
        <f t="shared" si="12"/>
        <v>Vivaan</v>
      </c>
      <c r="J79" t="str">
        <f t="shared" si="13"/>
        <v>Southwest</v>
      </c>
      <c r="K79" t="str">
        <f t="shared" si="14"/>
        <v>Charger</v>
      </c>
      <c r="L79">
        <f t="shared" si="15"/>
        <v>24</v>
      </c>
      <c r="M79">
        <f t="shared" si="16"/>
        <v>2211</v>
      </c>
      <c r="N79" s="2">
        <f t="shared" si="17"/>
        <v>0</v>
      </c>
      <c r="O79">
        <f t="shared" si="18"/>
        <v>53064</v>
      </c>
      <c r="P79" t="str">
        <f t="shared" si="19"/>
        <v>Normal Sale</v>
      </c>
      <c r="Q79" t="str">
        <f t="shared" si="20"/>
        <v>No</v>
      </c>
      <c r="R79" t="str" cm="1">
        <f t="array" ref="R79">_xlfn.IFS(L79&gt;=20,"Bulk",L79&gt;=10,"Medium",L79&lt;10,"Low")</f>
        <v>Bulk</v>
      </c>
      <c r="S79" t="str" cm="1">
        <f t="array" ref="S79">_xlfn.IFS(O79&gt;30000,"Premium",30000&lt;O79&gt;10000,"Standard",O79&lt;10000,"Budget")</f>
        <v>Premium</v>
      </c>
    </row>
    <row r="80" spans="1:19" x14ac:dyDescent="0.35">
      <c r="A80" s="1">
        <v>45339</v>
      </c>
      <c r="B80" t="s">
        <v>26</v>
      </c>
      <c r="C80" t="s">
        <v>16</v>
      </c>
      <c r="D80" t="s">
        <v>17</v>
      </c>
      <c r="E80">
        <v>13</v>
      </c>
      <c r="F80">
        <v>4302</v>
      </c>
      <c r="G80">
        <v>20</v>
      </c>
      <c r="H80">
        <v>44740.800000000003</v>
      </c>
      <c r="I80" t="str">
        <f t="shared" si="12"/>
        <v>Kabir</v>
      </c>
      <c r="J80" t="str">
        <f t="shared" si="13"/>
        <v>North</v>
      </c>
      <c r="K80" t="str">
        <f t="shared" si="14"/>
        <v>Router</v>
      </c>
      <c r="L80">
        <f t="shared" si="15"/>
        <v>13</v>
      </c>
      <c r="M80">
        <f t="shared" si="16"/>
        <v>4302</v>
      </c>
      <c r="N80" s="2">
        <f t="shared" si="17"/>
        <v>20</v>
      </c>
      <c r="O80">
        <f t="shared" si="18"/>
        <v>44740.800000000003</v>
      </c>
      <c r="P80" t="str">
        <f t="shared" si="19"/>
        <v>Normal Sale</v>
      </c>
      <c r="Q80" t="str">
        <f t="shared" si="20"/>
        <v>Yes</v>
      </c>
      <c r="R80" t="str" cm="1">
        <f t="array" ref="R80">_xlfn.IFS(L80&gt;=20,"Bulk",L80&gt;=10,"Medium",L80&lt;10,"Low")</f>
        <v>Medium</v>
      </c>
      <c r="S80" t="str" cm="1">
        <f t="array" ref="S80">_xlfn.IFS(O80&gt;30000,"Premium",30000&lt;O80&gt;10000,"Standard",O80&lt;10000,"Budget")</f>
        <v>Premium</v>
      </c>
    </row>
    <row r="81" spans="1:19" x14ac:dyDescent="0.35">
      <c r="A81" s="1">
        <v>45654</v>
      </c>
      <c r="B81" t="s">
        <v>27</v>
      </c>
      <c r="C81" t="s">
        <v>41</v>
      </c>
      <c r="D81" t="s">
        <v>9</v>
      </c>
      <c r="E81">
        <v>11</v>
      </c>
      <c r="F81">
        <v>8959</v>
      </c>
      <c r="G81">
        <v>15</v>
      </c>
      <c r="H81">
        <v>83766.649999999994</v>
      </c>
      <c r="I81" t="str">
        <f t="shared" si="12"/>
        <v>Lakshmi</v>
      </c>
      <c r="J81" t="str">
        <f t="shared" si="13"/>
        <v>Southeast</v>
      </c>
      <c r="K81" t="str">
        <f t="shared" si="14"/>
        <v>Printer</v>
      </c>
      <c r="L81">
        <f t="shared" si="15"/>
        <v>11</v>
      </c>
      <c r="M81">
        <f t="shared" si="16"/>
        <v>8959</v>
      </c>
      <c r="N81" s="2">
        <f t="shared" si="17"/>
        <v>15</v>
      </c>
      <c r="O81">
        <f t="shared" si="18"/>
        <v>83766.649999999994</v>
      </c>
      <c r="P81" t="str">
        <f t="shared" si="19"/>
        <v>High Value</v>
      </c>
      <c r="Q81" t="str">
        <f t="shared" si="20"/>
        <v>Yes</v>
      </c>
      <c r="R81" t="str" cm="1">
        <f t="array" ref="R81">_xlfn.IFS(L81&gt;=20,"Bulk",L81&gt;=10,"Medium",L81&lt;10,"Low")</f>
        <v>Medium</v>
      </c>
      <c r="S81" t="str" cm="1">
        <f t="array" ref="S81">_xlfn.IFS(O81&gt;30000,"Premium",30000&lt;O81&gt;10000,"Standard",O81&lt;10000,"Budget")</f>
        <v>Premium</v>
      </c>
    </row>
    <row r="82" spans="1:19" x14ac:dyDescent="0.35">
      <c r="A82" s="1">
        <v>45398</v>
      </c>
      <c r="B82" t="s">
        <v>50</v>
      </c>
      <c r="C82" t="s">
        <v>34</v>
      </c>
      <c r="D82" t="s">
        <v>19</v>
      </c>
      <c r="E82">
        <v>6</v>
      </c>
      <c r="F82">
        <v>11006</v>
      </c>
      <c r="G82">
        <v>5</v>
      </c>
      <c r="H82">
        <v>62734.2</v>
      </c>
      <c r="I82" t="str">
        <f t="shared" si="12"/>
        <v>Omkar</v>
      </c>
      <c r="J82" t="str">
        <f t="shared" si="13"/>
        <v>East</v>
      </c>
      <c r="K82" t="str">
        <f t="shared" si="14"/>
        <v>Monitor</v>
      </c>
      <c r="L82">
        <f t="shared" si="15"/>
        <v>6</v>
      </c>
      <c r="M82">
        <f t="shared" si="16"/>
        <v>11006</v>
      </c>
      <c r="N82" s="2">
        <f t="shared" si="17"/>
        <v>5</v>
      </c>
      <c r="O82">
        <f t="shared" si="18"/>
        <v>62734.2</v>
      </c>
      <c r="P82" t="str">
        <f t="shared" si="19"/>
        <v>High Value</v>
      </c>
      <c r="Q82" t="str">
        <f t="shared" si="20"/>
        <v>Yes</v>
      </c>
      <c r="R82" t="str" cm="1">
        <f t="array" ref="R82">_xlfn.IFS(L82&gt;=20,"Bulk",L82&gt;=10,"Medium",L82&lt;10,"Low")</f>
        <v>Low</v>
      </c>
      <c r="S82" t="str" cm="1">
        <f t="array" ref="S82">_xlfn.IFS(O82&gt;30000,"Premium",30000&lt;O82&gt;10000,"Standard",O82&lt;10000,"Budget")</f>
        <v>Premium</v>
      </c>
    </row>
    <row r="83" spans="1:19" x14ac:dyDescent="0.35">
      <c r="A83" s="1">
        <v>45319</v>
      </c>
      <c r="B83" t="s">
        <v>56</v>
      </c>
      <c r="C83" t="s">
        <v>20</v>
      </c>
      <c r="D83" t="s">
        <v>14</v>
      </c>
      <c r="E83">
        <v>6</v>
      </c>
      <c r="F83">
        <v>3643</v>
      </c>
      <c r="G83">
        <v>20</v>
      </c>
      <c r="H83">
        <v>17486.400000000001</v>
      </c>
      <c r="I83" t="str">
        <f t="shared" si="12"/>
        <v>Ananya</v>
      </c>
      <c r="J83" t="str">
        <f t="shared" si="13"/>
        <v>Southwest</v>
      </c>
      <c r="K83" t="str">
        <f t="shared" si="14"/>
        <v>Mouse</v>
      </c>
      <c r="L83">
        <f t="shared" si="15"/>
        <v>6</v>
      </c>
      <c r="M83">
        <f t="shared" si="16"/>
        <v>3643</v>
      </c>
      <c r="N83" s="2">
        <f t="shared" si="17"/>
        <v>20</v>
      </c>
      <c r="O83">
        <f t="shared" si="18"/>
        <v>17486.400000000001</v>
      </c>
      <c r="P83" t="str">
        <f t="shared" si="19"/>
        <v>Normal Sale</v>
      </c>
      <c r="Q83" t="str">
        <f t="shared" si="20"/>
        <v>Yes</v>
      </c>
      <c r="R83" t="str" cm="1">
        <f t="array" ref="R83">_xlfn.IFS(L83&gt;=20,"Bulk",L83&gt;=10,"Medium",L83&lt;10,"Low")</f>
        <v>Low</v>
      </c>
      <c r="S83" t="str" cm="1">
        <f t="array" ref="S83">_xlfn.IFS(O83&gt;30000,"Premium",30000&lt;O83&gt;10000,"Standard",O83&lt;10000,"Budget")</f>
        <v>Standard</v>
      </c>
    </row>
    <row r="84" spans="1:19" x14ac:dyDescent="0.35">
      <c r="A84" s="1">
        <v>45634</v>
      </c>
      <c r="B84" t="s">
        <v>8</v>
      </c>
      <c r="C84" t="s">
        <v>34</v>
      </c>
      <c r="D84" t="s">
        <v>21</v>
      </c>
      <c r="F84">
        <v>335</v>
      </c>
      <c r="G84">
        <v>15</v>
      </c>
      <c r="H84">
        <v>8257.75</v>
      </c>
      <c r="I84" t="str">
        <f t="shared" si="12"/>
        <v>Neha</v>
      </c>
      <c r="J84" t="str">
        <f t="shared" si="13"/>
        <v>East</v>
      </c>
      <c r="K84" t="str">
        <f t="shared" si="14"/>
        <v>Webcam</v>
      </c>
      <c r="L84">
        <f t="shared" si="15"/>
        <v>0</v>
      </c>
      <c r="M84">
        <f t="shared" si="16"/>
        <v>335</v>
      </c>
      <c r="N84" s="2">
        <f t="shared" si="17"/>
        <v>15</v>
      </c>
      <c r="O84">
        <f t="shared" si="18"/>
        <v>8257.75</v>
      </c>
      <c r="P84" t="str">
        <f t="shared" si="19"/>
        <v>Normal Sale</v>
      </c>
      <c r="Q84" t="str">
        <f t="shared" si="20"/>
        <v>Yes</v>
      </c>
      <c r="R84" t="str" cm="1">
        <f t="array" ref="R84">_xlfn.IFS(L84&gt;=20,"Bulk",L84&gt;=10,"Medium",L84&lt;10,"Low")</f>
        <v>Low</v>
      </c>
      <c r="S84" t="str" cm="1">
        <f t="array" ref="S84">_xlfn.IFS(O84&gt;30000,"Premium",30000&lt;O84&gt;10000,"Standard",O84&lt;10000,"Budget")</f>
        <v>Standard</v>
      </c>
    </row>
    <row r="85" spans="1:19" x14ac:dyDescent="0.35">
      <c r="A85" s="1">
        <v>45594</v>
      </c>
      <c r="B85" t="s">
        <v>15</v>
      </c>
      <c r="C85" t="s">
        <v>11</v>
      </c>
      <c r="D85" t="s">
        <v>21</v>
      </c>
      <c r="E85">
        <v>24</v>
      </c>
      <c r="F85">
        <v>5318</v>
      </c>
      <c r="G85">
        <v>10</v>
      </c>
      <c r="H85">
        <v>114868.8</v>
      </c>
      <c r="I85" t="str">
        <f t="shared" si="12"/>
        <v>Rahul</v>
      </c>
      <c r="J85" t="str">
        <f t="shared" si="13"/>
        <v>South</v>
      </c>
      <c r="K85" t="str">
        <f t="shared" si="14"/>
        <v>Webcam</v>
      </c>
      <c r="L85">
        <f t="shared" si="15"/>
        <v>24</v>
      </c>
      <c r="M85">
        <f t="shared" si="16"/>
        <v>5318</v>
      </c>
      <c r="N85" s="2">
        <f t="shared" si="17"/>
        <v>10</v>
      </c>
      <c r="O85">
        <f t="shared" si="18"/>
        <v>114868.8</v>
      </c>
      <c r="P85" t="str">
        <f t="shared" si="19"/>
        <v>High Value</v>
      </c>
      <c r="Q85" t="str">
        <f t="shared" si="20"/>
        <v>Yes</v>
      </c>
      <c r="R85" t="str" cm="1">
        <f t="array" ref="R85">_xlfn.IFS(L85&gt;=20,"Bulk",L85&gt;=10,"Medium",L85&lt;10,"Low")</f>
        <v>Bulk</v>
      </c>
      <c r="S85" t="str" cm="1">
        <f t="array" ref="S85">_xlfn.IFS(O85&gt;30000,"Premium",30000&lt;O85&gt;10000,"Standard",O85&lt;10000,"Budget")</f>
        <v>Premium</v>
      </c>
    </row>
    <row r="86" spans="1:19" x14ac:dyDescent="0.35">
      <c r="A86" s="1">
        <v>45382</v>
      </c>
      <c r="B86" t="s">
        <v>24</v>
      </c>
      <c r="C86" t="s">
        <v>41</v>
      </c>
      <c r="D86" t="s">
        <v>28</v>
      </c>
      <c r="E86">
        <v>30</v>
      </c>
      <c r="F86">
        <v>5932</v>
      </c>
      <c r="H86">
        <v>177960</v>
      </c>
      <c r="I86" t="str">
        <f t="shared" si="12"/>
        <v>Sourav</v>
      </c>
      <c r="J86" t="str">
        <f t="shared" si="13"/>
        <v>Southeast</v>
      </c>
      <c r="K86" t="str">
        <f t="shared" si="14"/>
        <v>Speaker</v>
      </c>
      <c r="L86">
        <f t="shared" si="15"/>
        <v>30</v>
      </c>
      <c r="M86">
        <f t="shared" si="16"/>
        <v>5932</v>
      </c>
      <c r="N86" s="2">
        <f t="shared" si="17"/>
        <v>0</v>
      </c>
      <c r="O86">
        <f t="shared" si="18"/>
        <v>177960</v>
      </c>
      <c r="P86" t="str">
        <f t="shared" si="19"/>
        <v>High Value</v>
      </c>
      <c r="Q86" t="str">
        <f t="shared" si="20"/>
        <v>No</v>
      </c>
      <c r="R86" t="str" cm="1">
        <f t="array" ref="R86">_xlfn.IFS(L86&gt;=20,"Bulk",L86&gt;=10,"Medium",L86&lt;10,"Low")</f>
        <v>Bulk</v>
      </c>
      <c r="S86" t="str" cm="1">
        <f t="array" ref="S86">_xlfn.IFS(O86&gt;30000,"Premium",30000&lt;O86&gt;10000,"Standard",O86&lt;10000,"Budget")</f>
        <v>Premium</v>
      </c>
    </row>
    <row r="87" spans="1:19" x14ac:dyDescent="0.35">
      <c r="A87" s="1">
        <v>45497</v>
      </c>
      <c r="B87" t="s">
        <v>39</v>
      </c>
      <c r="C87" t="s">
        <v>20</v>
      </c>
      <c r="D87" t="s">
        <v>28</v>
      </c>
      <c r="E87">
        <v>6</v>
      </c>
      <c r="F87">
        <v>1172</v>
      </c>
      <c r="G87">
        <v>0</v>
      </c>
      <c r="H87">
        <v>7032</v>
      </c>
      <c r="I87" t="str">
        <f t="shared" si="12"/>
        <v>Karan</v>
      </c>
      <c r="J87" t="str">
        <f t="shared" si="13"/>
        <v>Southwest</v>
      </c>
      <c r="K87" t="str">
        <f t="shared" si="14"/>
        <v>Speaker</v>
      </c>
      <c r="L87">
        <f t="shared" si="15"/>
        <v>6</v>
      </c>
      <c r="M87">
        <f t="shared" si="16"/>
        <v>1172</v>
      </c>
      <c r="N87" s="2">
        <f t="shared" si="17"/>
        <v>0</v>
      </c>
      <c r="O87">
        <f t="shared" si="18"/>
        <v>7032</v>
      </c>
      <c r="P87" t="str">
        <f t="shared" si="19"/>
        <v>Normal Sale</v>
      </c>
      <c r="Q87" t="str">
        <f t="shared" si="20"/>
        <v>No</v>
      </c>
      <c r="R87" t="str" cm="1">
        <f t="array" ref="R87">_xlfn.IFS(L87&gt;=20,"Bulk",L87&gt;=10,"Medium",L87&lt;10,"Low")</f>
        <v>Low</v>
      </c>
      <c r="S87" t="str" cm="1">
        <f t="array" ref="S87">_xlfn.IFS(O87&gt;30000,"Premium",30000&lt;O87&gt;10000,"Standard",O87&lt;10000,"Budget")</f>
        <v>Standard</v>
      </c>
    </row>
    <row r="88" spans="1:19" x14ac:dyDescent="0.35">
      <c r="A88" s="1">
        <v>45555</v>
      </c>
      <c r="B88" t="s">
        <v>46</v>
      </c>
      <c r="C88" t="s">
        <v>34</v>
      </c>
      <c r="D88" t="s">
        <v>23</v>
      </c>
      <c r="E88">
        <v>15</v>
      </c>
      <c r="F88">
        <v>52533</v>
      </c>
      <c r="G88">
        <v>10</v>
      </c>
      <c r="H88">
        <v>709195.5</v>
      </c>
      <c r="I88" t="str">
        <f t="shared" si="12"/>
        <v>Jasmin</v>
      </c>
      <c r="J88" t="str">
        <f t="shared" si="13"/>
        <v>East</v>
      </c>
      <c r="K88" t="str">
        <f t="shared" si="14"/>
        <v>Laptop</v>
      </c>
      <c r="L88">
        <f t="shared" si="15"/>
        <v>15</v>
      </c>
      <c r="M88">
        <f t="shared" si="16"/>
        <v>52533</v>
      </c>
      <c r="N88" s="2">
        <f t="shared" si="17"/>
        <v>10</v>
      </c>
      <c r="O88">
        <f t="shared" si="18"/>
        <v>709195.5</v>
      </c>
      <c r="P88" t="str">
        <f t="shared" si="19"/>
        <v>High Value</v>
      </c>
      <c r="Q88" t="str">
        <f t="shared" si="20"/>
        <v>Yes</v>
      </c>
      <c r="R88" t="str" cm="1">
        <f t="array" ref="R88">_xlfn.IFS(L88&gt;=20,"Bulk",L88&gt;=10,"Medium",L88&lt;10,"Low")</f>
        <v>Medium</v>
      </c>
      <c r="S88" t="str" cm="1">
        <f t="array" ref="S88">_xlfn.IFS(O88&gt;30000,"Premium",30000&lt;O88&gt;10000,"Standard",O88&lt;10000,"Budget")</f>
        <v>Premium</v>
      </c>
    </row>
    <row r="89" spans="1:19" x14ac:dyDescent="0.35">
      <c r="A89" s="1">
        <v>45476</v>
      </c>
      <c r="B89" t="s">
        <v>24</v>
      </c>
      <c r="C89" t="s">
        <v>13</v>
      </c>
      <c r="D89" t="s">
        <v>9</v>
      </c>
      <c r="E89">
        <v>11</v>
      </c>
      <c r="F89">
        <v>9705</v>
      </c>
      <c r="G89">
        <v>15</v>
      </c>
      <c r="H89">
        <v>90741.75</v>
      </c>
      <c r="I89" t="str">
        <f t="shared" si="12"/>
        <v>Sourav</v>
      </c>
      <c r="J89" t="str">
        <f t="shared" si="13"/>
        <v>Northeast</v>
      </c>
      <c r="K89" t="str">
        <f t="shared" si="14"/>
        <v>Printer</v>
      </c>
      <c r="L89">
        <f t="shared" si="15"/>
        <v>11</v>
      </c>
      <c r="M89">
        <f t="shared" si="16"/>
        <v>9705</v>
      </c>
      <c r="N89" s="2">
        <f t="shared" si="17"/>
        <v>15</v>
      </c>
      <c r="O89">
        <f t="shared" si="18"/>
        <v>90741.75</v>
      </c>
      <c r="P89" t="str">
        <f t="shared" si="19"/>
        <v>High Value</v>
      </c>
      <c r="Q89" t="str">
        <f t="shared" si="20"/>
        <v>Yes</v>
      </c>
      <c r="R89" t="str" cm="1">
        <f t="array" ref="R89">_xlfn.IFS(L89&gt;=20,"Bulk",L89&gt;=10,"Medium",L89&lt;10,"Low")</f>
        <v>Medium</v>
      </c>
      <c r="S89" t="str" cm="1">
        <f t="array" ref="S89">_xlfn.IFS(O89&gt;30000,"Premium",30000&lt;O89&gt;10000,"Standard",O89&lt;10000,"Budget")</f>
        <v>Premium</v>
      </c>
    </row>
    <row r="90" spans="1:19" x14ac:dyDescent="0.35">
      <c r="A90" s="1">
        <v>45373</v>
      </c>
      <c r="B90" t="s">
        <v>39</v>
      </c>
      <c r="C90" t="s">
        <v>25</v>
      </c>
      <c r="D90" t="s">
        <v>53</v>
      </c>
      <c r="E90">
        <v>23</v>
      </c>
      <c r="F90">
        <v>44</v>
      </c>
      <c r="G90">
        <v>10</v>
      </c>
      <c r="H90">
        <v>910.8</v>
      </c>
      <c r="I90" t="str">
        <f t="shared" si="12"/>
        <v>Karan</v>
      </c>
      <c r="J90" t="str">
        <f t="shared" si="13"/>
        <v>Northwest</v>
      </c>
      <c r="K90" t="str">
        <f t="shared" si="14"/>
        <v>Charger</v>
      </c>
      <c r="L90">
        <f t="shared" si="15"/>
        <v>23</v>
      </c>
      <c r="M90">
        <f t="shared" si="16"/>
        <v>44</v>
      </c>
      <c r="N90" s="2">
        <f t="shared" si="17"/>
        <v>10</v>
      </c>
      <c r="O90">
        <f t="shared" si="18"/>
        <v>910.8</v>
      </c>
      <c r="P90" t="str">
        <f t="shared" si="19"/>
        <v>Normal Sale</v>
      </c>
      <c r="Q90" t="str">
        <f t="shared" si="20"/>
        <v>Yes</v>
      </c>
      <c r="R90" t="str" cm="1">
        <f t="array" ref="R90">_xlfn.IFS(L90&gt;=20,"Bulk",L90&gt;=10,"Medium",L90&lt;10,"Low")</f>
        <v>Bulk</v>
      </c>
      <c r="S90" t="str" cm="1">
        <f t="array" ref="S90">_xlfn.IFS(O90&gt;30000,"Premium",30000&lt;O90&gt;10000,"Standard",O90&lt;10000,"Budget")</f>
        <v>Standard</v>
      </c>
    </row>
    <row r="91" spans="1:19" x14ac:dyDescent="0.35">
      <c r="A91" s="1">
        <v>45596</v>
      </c>
      <c r="B91" t="s">
        <v>27</v>
      </c>
      <c r="C91" t="s">
        <v>40</v>
      </c>
      <c r="D91" t="s">
        <v>19</v>
      </c>
      <c r="E91">
        <v>14</v>
      </c>
      <c r="F91">
        <v>11614</v>
      </c>
      <c r="G91">
        <v>10</v>
      </c>
      <c r="H91">
        <v>146336.4</v>
      </c>
      <c r="I91" t="str">
        <f t="shared" si="12"/>
        <v>Lakshmi</v>
      </c>
      <c r="J91" t="str">
        <f t="shared" si="13"/>
        <v>Central</v>
      </c>
      <c r="K91" t="str">
        <f t="shared" si="14"/>
        <v>Monitor</v>
      </c>
      <c r="L91">
        <f t="shared" si="15"/>
        <v>14</v>
      </c>
      <c r="M91">
        <f t="shared" si="16"/>
        <v>11614</v>
      </c>
      <c r="N91" s="2">
        <f t="shared" si="17"/>
        <v>10</v>
      </c>
      <c r="O91">
        <f t="shared" si="18"/>
        <v>146336.4</v>
      </c>
      <c r="P91" t="str">
        <f t="shared" si="19"/>
        <v>High Value</v>
      </c>
      <c r="Q91" t="str">
        <f t="shared" si="20"/>
        <v>Yes</v>
      </c>
      <c r="R91" t="str" cm="1">
        <f t="array" ref="R91">_xlfn.IFS(L91&gt;=20,"Bulk",L91&gt;=10,"Medium",L91&lt;10,"Low")</f>
        <v>Medium</v>
      </c>
      <c r="S91" t="str" cm="1">
        <f t="array" ref="S91">_xlfn.IFS(O91&gt;30000,"Premium",30000&lt;O91&gt;10000,"Standard",O91&lt;10000,"Budget")</f>
        <v>Premium</v>
      </c>
    </row>
    <row r="92" spans="1:19" x14ac:dyDescent="0.35">
      <c r="A92" s="1">
        <v>45405</v>
      </c>
      <c r="B92" t="s">
        <v>18</v>
      </c>
      <c r="C92" t="s">
        <v>11</v>
      </c>
      <c r="D92" t="s">
        <v>14</v>
      </c>
      <c r="E92">
        <v>11</v>
      </c>
      <c r="F92">
        <v>3412</v>
      </c>
      <c r="G92">
        <v>10</v>
      </c>
      <c r="H92">
        <v>33778.800000000003</v>
      </c>
      <c r="I92" t="str">
        <f t="shared" si="12"/>
        <v>Arjun</v>
      </c>
      <c r="J92" t="str">
        <f t="shared" si="13"/>
        <v>South</v>
      </c>
      <c r="K92" t="str">
        <f t="shared" si="14"/>
        <v>Mouse</v>
      </c>
      <c r="L92">
        <f t="shared" si="15"/>
        <v>11</v>
      </c>
      <c r="M92">
        <f t="shared" si="16"/>
        <v>3412</v>
      </c>
      <c r="N92" s="2">
        <f t="shared" si="17"/>
        <v>10</v>
      </c>
      <c r="O92">
        <f t="shared" si="18"/>
        <v>33778.800000000003</v>
      </c>
      <c r="P92" t="str">
        <f t="shared" si="19"/>
        <v>Normal Sale</v>
      </c>
      <c r="Q92" t="str">
        <f t="shared" si="20"/>
        <v>Yes</v>
      </c>
      <c r="R92" t="str" cm="1">
        <f t="array" ref="R92">_xlfn.IFS(L92&gt;=20,"Bulk",L92&gt;=10,"Medium",L92&lt;10,"Low")</f>
        <v>Medium</v>
      </c>
      <c r="S92" t="str" cm="1">
        <f t="array" ref="S92">_xlfn.IFS(O92&gt;30000,"Premium",30000&lt;O92&gt;10000,"Standard",O92&lt;10000,"Budget")</f>
        <v>Premium</v>
      </c>
    </row>
    <row r="93" spans="1:19" x14ac:dyDescent="0.35">
      <c r="A93" s="1">
        <v>45548</v>
      </c>
      <c r="B93" t="s">
        <v>55</v>
      </c>
      <c r="C93" t="s">
        <v>11</v>
      </c>
      <c r="D93" t="s">
        <v>9</v>
      </c>
      <c r="E93">
        <v>21</v>
      </c>
      <c r="F93">
        <v>8468</v>
      </c>
      <c r="G93">
        <v>0</v>
      </c>
      <c r="H93">
        <v>177828</v>
      </c>
      <c r="I93" t="str">
        <f t="shared" si="12"/>
        <v>Meera</v>
      </c>
      <c r="J93" t="str">
        <f t="shared" si="13"/>
        <v>South</v>
      </c>
      <c r="K93" t="str">
        <f t="shared" si="14"/>
        <v>Printer</v>
      </c>
      <c r="L93">
        <f t="shared" si="15"/>
        <v>21</v>
      </c>
      <c r="M93">
        <f t="shared" si="16"/>
        <v>8468</v>
      </c>
      <c r="N93" s="2">
        <f t="shared" si="17"/>
        <v>0</v>
      </c>
      <c r="O93">
        <f t="shared" si="18"/>
        <v>177828</v>
      </c>
      <c r="P93" t="str">
        <f t="shared" si="19"/>
        <v>High Value</v>
      </c>
      <c r="Q93" t="str">
        <f t="shared" si="20"/>
        <v>No</v>
      </c>
      <c r="R93" t="str" cm="1">
        <f t="array" ref="R93">_xlfn.IFS(L93&gt;=20,"Bulk",L93&gt;=10,"Medium",L93&lt;10,"Low")</f>
        <v>Bulk</v>
      </c>
      <c r="S93" t="str" cm="1">
        <f t="array" ref="S93">_xlfn.IFS(O93&gt;30000,"Premium",30000&lt;O93&gt;10000,"Standard",O93&lt;10000,"Budget")</f>
        <v>Premium</v>
      </c>
    </row>
    <row r="94" spans="1:19" x14ac:dyDescent="0.35">
      <c r="A94" s="1">
        <v>45349</v>
      </c>
      <c r="B94" t="s">
        <v>29</v>
      </c>
      <c r="C94" t="s">
        <v>25</v>
      </c>
      <c r="D94" t="s">
        <v>14</v>
      </c>
      <c r="E94">
        <v>18</v>
      </c>
      <c r="F94">
        <v>3115</v>
      </c>
      <c r="G94">
        <v>5</v>
      </c>
      <c r="H94">
        <v>53266.5</v>
      </c>
      <c r="I94" t="str">
        <f t="shared" si="12"/>
        <v>Mihir</v>
      </c>
      <c r="J94" t="str">
        <f t="shared" si="13"/>
        <v>Northwest</v>
      </c>
      <c r="K94" t="str">
        <f t="shared" si="14"/>
        <v>Mouse</v>
      </c>
      <c r="L94">
        <f t="shared" si="15"/>
        <v>18</v>
      </c>
      <c r="M94">
        <f t="shared" si="16"/>
        <v>3115</v>
      </c>
      <c r="N94" s="2">
        <f t="shared" si="17"/>
        <v>5</v>
      </c>
      <c r="O94">
        <f t="shared" si="18"/>
        <v>53266.5</v>
      </c>
      <c r="P94" t="str">
        <f t="shared" si="19"/>
        <v>High Value</v>
      </c>
      <c r="Q94" t="str">
        <f t="shared" si="20"/>
        <v>Yes</v>
      </c>
      <c r="R94" t="str" cm="1">
        <f t="array" ref="R94">_xlfn.IFS(L94&gt;=20,"Bulk",L94&gt;=10,"Medium",L94&lt;10,"Low")</f>
        <v>Medium</v>
      </c>
      <c r="S94" t="str" cm="1">
        <f t="array" ref="S94">_xlfn.IFS(O94&gt;30000,"Premium",30000&lt;O94&gt;10000,"Standard",O94&lt;10000,"Budget")</f>
        <v>Premium</v>
      </c>
    </row>
    <row r="95" spans="1:19" x14ac:dyDescent="0.35">
      <c r="A95" s="1">
        <v>45294</v>
      </c>
      <c r="B95" t="s">
        <v>43</v>
      </c>
      <c r="C95" t="s">
        <v>20</v>
      </c>
      <c r="D95" t="s">
        <v>23</v>
      </c>
      <c r="E95">
        <v>28</v>
      </c>
      <c r="F95">
        <v>48353</v>
      </c>
      <c r="G95">
        <v>0</v>
      </c>
      <c r="H95">
        <v>1353884</v>
      </c>
      <c r="I95" t="str">
        <f t="shared" si="12"/>
        <v>Nisha</v>
      </c>
      <c r="J95" t="str">
        <f t="shared" si="13"/>
        <v>Southwest</v>
      </c>
      <c r="K95" t="str">
        <f t="shared" si="14"/>
        <v>Laptop</v>
      </c>
      <c r="L95">
        <f t="shared" si="15"/>
        <v>28</v>
      </c>
      <c r="M95">
        <f t="shared" si="16"/>
        <v>48353</v>
      </c>
      <c r="N95" s="2">
        <f t="shared" si="17"/>
        <v>0</v>
      </c>
      <c r="O95">
        <f t="shared" si="18"/>
        <v>1353884</v>
      </c>
      <c r="P95" t="str">
        <f t="shared" si="19"/>
        <v>High Value</v>
      </c>
      <c r="Q95" t="str">
        <f t="shared" si="20"/>
        <v>No</v>
      </c>
      <c r="R95" t="str" cm="1">
        <f t="array" ref="R95">_xlfn.IFS(L95&gt;=20,"Bulk",L95&gt;=10,"Medium",L95&lt;10,"Low")</f>
        <v>Bulk</v>
      </c>
      <c r="S95" t="str" cm="1">
        <f t="array" ref="S95">_xlfn.IFS(O95&gt;30000,"Premium",30000&lt;O95&gt;10000,"Standard",O95&lt;10000,"Budget")</f>
        <v>Premium</v>
      </c>
    </row>
    <row r="96" spans="1:19" x14ac:dyDescent="0.35">
      <c r="A96" s="1">
        <v>45543</v>
      </c>
      <c r="B96" t="s">
        <v>46</v>
      </c>
      <c r="C96" t="s">
        <v>13</v>
      </c>
      <c r="D96" t="s">
        <v>53</v>
      </c>
      <c r="E96">
        <v>17</v>
      </c>
      <c r="F96">
        <v>2599</v>
      </c>
      <c r="G96">
        <v>10</v>
      </c>
      <c r="H96">
        <v>39764.699999999997</v>
      </c>
      <c r="I96" t="str">
        <f t="shared" si="12"/>
        <v>Jasmin</v>
      </c>
      <c r="J96" t="str">
        <f t="shared" si="13"/>
        <v>Northeast</v>
      </c>
      <c r="K96" t="str">
        <f t="shared" si="14"/>
        <v>Charger</v>
      </c>
      <c r="L96">
        <f t="shared" si="15"/>
        <v>17</v>
      </c>
      <c r="M96">
        <f t="shared" si="16"/>
        <v>2599</v>
      </c>
      <c r="N96" s="2">
        <f t="shared" si="17"/>
        <v>10</v>
      </c>
      <c r="O96">
        <f t="shared" si="18"/>
        <v>39764.699999999997</v>
      </c>
      <c r="P96" t="str">
        <f t="shared" si="19"/>
        <v>Normal Sale</v>
      </c>
      <c r="Q96" t="str">
        <f t="shared" si="20"/>
        <v>Yes</v>
      </c>
      <c r="R96" t="str" cm="1">
        <f t="array" ref="R96">_xlfn.IFS(L96&gt;=20,"Bulk",L96&gt;=10,"Medium",L96&lt;10,"Low")</f>
        <v>Medium</v>
      </c>
      <c r="S96" t="str" cm="1">
        <f t="array" ref="S96">_xlfn.IFS(O96&gt;30000,"Premium",30000&lt;O96&gt;10000,"Standard",O96&lt;10000,"Budget")</f>
        <v>Premium</v>
      </c>
    </row>
    <row r="97" spans="1:19" x14ac:dyDescent="0.35">
      <c r="A97" s="1">
        <v>45415</v>
      </c>
      <c r="B97" t="s">
        <v>51</v>
      </c>
      <c r="C97" t="s">
        <v>20</v>
      </c>
      <c r="D97" t="s">
        <v>9</v>
      </c>
      <c r="F97">
        <v>9954</v>
      </c>
      <c r="H97">
        <v>149310</v>
      </c>
      <c r="I97" t="str">
        <f t="shared" si="12"/>
        <v>Vikram</v>
      </c>
      <c r="J97" t="str">
        <f t="shared" si="13"/>
        <v>Southwest</v>
      </c>
      <c r="K97" t="str">
        <f t="shared" si="14"/>
        <v>Printer</v>
      </c>
      <c r="L97">
        <f t="shared" si="15"/>
        <v>0</v>
      </c>
      <c r="M97">
        <f t="shared" si="16"/>
        <v>9954</v>
      </c>
      <c r="N97" s="2">
        <f t="shared" si="17"/>
        <v>0</v>
      </c>
      <c r="O97">
        <f t="shared" si="18"/>
        <v>149310</v>
      </c>
      <c r="P97" t="str">
        <f t="shared" si="19"/>
        <v>High Value</v>
      </c>
      <c r="Q97" t="str">
        <f t="shared" si="20"/>
        <v>No</v>
      </c>
      <c r="R97" t="str" cm="1">
        <f t="array" ref="R97">_xlfn.IFS(L97&gt;=20,"Bulk",L97&gt;=10,"Medium",L97&lt;10,"Low")</f>
        <v>Low</v>
      </c>
      <c r="S97" t="str" cm="1">
        <f t="array" ref="S97">_xlfn.IFS(O97&gt;30000,"Premium",30000&lt;O97&gt;10000,"Standard",O97&lt;10000,"Budget")</f>
        <v>Premium</v>
      </c>
    </row>
    <row r="98" spans="1:19" x14ac:dyDescent="0.35">
      <c r="A98" s="1">
        <v>45318</v>
      </c>
      <c r="B98" t="s">
        <v>12</v>
      </c>
      <c r="C98" t="s">
        <v>41</v>
      </c>
      <c r="D98" t="s">
        <v>53</v>
      </c>
      <c r="E98">
        <v>24</v>
      </c>
      <c r="F98">
        <v>-430</v>
      </c>
      <c r="G98">
        <v>20</v>
      </c>
      <c r="H98">
        <v>-8256</v>
      </c>
      <c r="I98" t="str">
        <f t="shared" si="12"/>
        <v>Saanvi</v>
      </c>
      <c r="J98" t="str">
        <f t="shared" si="13"/>
        <v>Southeast</v>
      </c>
      <c r="K98" t="str">
        <f t="shared" si="14"/>
        <v>Charger</v>
      </c>
      <c r="L98">
        <f t="shared" si="15"/>
        <v>24</v>
      </c>
      <c r="M98">
        <f t="shared" si="16"/>
        <v>430</v>
      </c>
      <c r="N98" s="2">
        <f t="shared" si="17"/>
        <v>20</v>
      </c>
      <c r="O98">
        <f t="shared" si="18"/>
        <v>8256</v>
      </c>
      <c r="P98" t="str">
        <f t="shared" si="19"/>
        <v>Normal Sale</v>
      </c>
      <c r="Q98" t="str">
        <f t="shared" si="20"/>
        <v>Yes</v>
      </c>
      <c r="R98" t="str" cm="1">
        <f t="array" ref="R98">_xlfn.IFS(L98&gt;=20,"Bulk",L98&gt;=10,"Medium",L98&lt;10,"Low")</f>
        <v>Bulk</v>
      </c>
      <c r="S98" t="str" cm="1">
        <f t="array" ref="S98">_xlfn.IFS(O98&gt;30000,"Premium",30000&lt;O98&gt;10000,"Standard",O98&lt;10000,"Budget")</f>
        <v>Standard</v>
      </c>
    </row>
    <row r="99" spans="1:19" x14ac:dyDescent="0.35">
      <c r="A99" s="1">
        <v>45526</v>
      </c>
      <c r="B99" t="s">
        <v>22</v>
      </c>
      <c r="C99" t="s">
        <v>36</v>
      </c>
      <c r="D99" t="s">
        <v>32</v>
      </c>
      <c r="E99">
        <v>8</v>
      </c>
      <c r="F99">
        <v>5271</v>
      </c>
      <c r="G99">
        <v>0</v>
      </c>
      <c r="H99">
        <v>42168</v>
      </c>
      <c r="I99" t="str">
        <f t="shared" si="12"/>
        <v>Aarav</v>
      </c>
      <c r="J99" t="str">
        <f t="shared" si="13"/>
        <v>West</v>
      </c>
      <c r="K99" t="str">
        <f t="shared" si="14"/>
        <v>Headphones</v>
      </c>
      <c r="L99">
        <f t="shared" si="15"/>
        <v>8</v>
      </c>
      <c r="M99">
        <f t="shared" si="16"/>
        <v>5271</v>
      </c>
      <c r="N99" s="2">
        <f t="shared" si="17"/>
        <v>0</v>
      </c>
      <c r="O99">
        <f t="shared" si="18"/>
        <v>42168</v>
      </c>
      <c r="P99" t="str">
        <f t="shared" si="19"/>
        <v>Normal Sale</v>
      </c>
      <c r="Q99" t="str">
        <f t="shared" si="20"/>
        <v>No</v>
      </c>
      <c r="R99" t="str" cm="1">
        <f t="array" ref="R99">_xlfn.IFS(L99&gt;=20,"Bulk",L99&gt;=10,"Medium",L99&lt;10,"Low")</f>
        <v>Low</v>
      </c>
      <c r="S99" t="str" cm="1">
        <f t="array" ref="S99">_xlfn.IFS(O99&gt;30000,"Premium",30000&lt;O99&gt;10000,"Standard",O99&lt;10000,"Budget")</f>
        <v>Premium</v>
      </c>
    </row>
    <row r="100" spans="1:19" x14ac:dyDescent="0.35">
      <c r="A100" s="1">
        <v>45372</v>
      </c>
      <c r="B100" t="s">
        <v>37</v>
      </c>
      <c r="C100" t="s">
        <v>20</v>
      </c>
      <c r="D100" t="s">
        <v>30</v>
      </c>
      <c r="E100">
        <v>3</v>
      </c>
      <c r="F100">
        <v>2840</v>
      </c>
      <c r="G100">
        <v>0</v>
      </c>
      <c r="H100">
        <v>8520</v>
      </c>
      <c r="I100" t="str">
        <f t="shared" si="12"/>
        <v>Ishita</v>
      </c>
      <c r="J100" t="str">
        <f t="shared" si="13"/>
        <v>Southwest</v>
      </c>
      <c r="K100" t="str">
        <f t="shared" si="14"/>
        <v>Keyboard</v>
      </c>
      <c r="L100">
        <f t="shared" si="15"/>
        <v>3</v>
      </c>
      <c r="M100">
        <f t="shared" si="16"/>
        <v>2840</v>
      </c>
      <c r="N100" s="2">
        <f t="shared" si="17"/>
        <v>0</v>
      </c>
      <c r="O100">
        <f t="shared" si="18"/>
        <v>8520</v>
      </c>
      <c r="P100" t="str">
        <f t="shared" si="19"/>
        <v>Normal Sale</v>
      </c>
      <c r="Q100" t="str">
        <f t="shared" si="20"/>
        <v>No</v>
      </c>
      <c r="R100" t="str" cm="1">
        <f t="array" ref="R100">_xlfn.IFS(L100&gt;=20,"Bulk",L100&gt;=10,"Medium",L100&lt;10,"Low")</f>
        <v>Low</v>
      </c>
      <c r="S100" t="str" cm="1">
        <f t="array" ref="S100">_xlfn.IFS(O100&gt;30000,"Premium",30000&lt;O100&gt;10000,"Standard",O100&lt;10000,"Budget")</f>
        <v>Standard</v>
      </c>
    </row>
    <row r="101" spans="1:19" x14ac:dyDescent="0.35">
      <c r="A101" s="1">
        <v>45402</v>
      </c>
      <c r="C101" t="s">
        <v>20</v>
      </c>
      <c r="D101" t="s">
        <v>28</v>
      </c>
      <c r="E101">
        <v>27</v>
      </c>
      <c r="F101">
        <v>4063</v>
      </c>
      <c r="G101">
        <v>20</v>
      </c>
      <c r="H101">
        <v>87760.8</v>
      </c>
      <c r="I101" t="str">
        <f t="shared" si="12"/>
        <v>Unknown</v>
      </c>
      <c r="J101" t="str">
        <f t="shared" si="13"/>
        <v>Southwest</v>
      </c>
      <c r="K101" t="str">
        <f t="shared" si="14"/>
        <v>Speaker</v>
      </c>
      <c r="L101">
        <f t="shared" si="15"/>
        <v>27</v>
      </c>
      <c r="M101">
        <f t="shared" si="16"/>
        <v>4063</v>
      </c>
      <c r="N101" s="2">
        <f t="shared" si="17"/>
        <v>20</v>
      </c>
      <c r="O101">
        <f t="shared" si="18"/>
        <v>87760.8</v>
      </c>
      <c r="P101" t="str">
        <f t="shared" si="19"/>
        <v>High Value</v>
      </c>
      <c r="Q101" t="str">
        <f t="shared" si="20"/>
        <v>Yes</v>
      </c>
      <c r="R101" t="str" cm="1">
        <f t="array" ref="R101">_xlfn.IFS(L101&gt;=20,"Bulk",L101&gt;=10,"Medium",L101&lt;10,"Low")</f>
        <v>Bulk</v>
      </c>
      <c r="S101" t="str" cm="1">
        <f t="array" ref="S101">_xlfn.IFS(O101&gt;30000,"Premium",30000&lt;O101&gt;10000,"Standard",O101&lt;10000,"Budget")</f>
        <v>Premium</v>
      </c>
    </row>
    <row r="102" spans="1:19" x14ac:dyDescent="0.35">
      <c r="A102" s="1">
        <v>45363</v>
      </c>
      <c r="B102" t="s">
        <v>54</v>
      </c>
      <c r="C102" t="s">
        <v>41</v>
      </c>
      <c r="D102" t="s">
        <v>9</v>
      </c>
      <c r="E102">
        <v>27</v>
      </c>
      <c r="F102">
        <v>8713</v>
      </c>
      <c r="G102">
        <v>5</v>
      </c>
      <c r="H102">
        <v>223488.45</v>
      </c>
      <c r="I102" t="str">
        <f t="shared" si="12"/>
        <v>Harsh</v>
      </c>
      <c r="J102" t="str">
        <f t="shared" si="13"/>
        <v>Southeast</v>
      </c>
      <c r="K102" t="str">
        <f t="shared" si="14"/>
        <v>Printer</v>
      </c>
      <c r="L102">
        <f t="shared" si="15"/>
        <v>27</v>
      </c>
      <c r="M102">
        <f t="shared" si="16"/>
        <v>8713</v>
      </c>
      <c r="N102" s="2">
        <f t="shared" si="17"/>
        <v>5</v>
      </c>
      <c r="O102">
        <f t="shared" si="18"/>
        <v>223488.45</v>
      </c>
      <c r="P102" t="str">
        <f t="shared" si="19"/>
        <v>High Value</v>
      </c>
      <c r="Q102" t="str">
        <f t="shared" si="20"/>
        <v>Yes</v>
      </c>
      <c r="R102" t="str" cm="1">
        <f t="array" ref="R102">_xlfn.IFS(L102&gt;=20,"Bulk",L102&gt;=10,"Medium",L102&lt;10,"Low")</f>
        <v>Bulk</v>
      </c>
      <c r="S102" t="str" cm="1">
        <f t="array" ref="S102">_xlfn.IFS(O102&gt;30000,"Premium",30000&lt;O102&gt;10000,"Standard",O102&lt;10000,"Budget")</f>
        <v>Premium</v>
      </c>
    </row>
    <row r="103" spans="1:19" x14ac:dyDescent="0.35">
      <c r="A103" s="1">
        <v>45547</v>
      </c>
      <c r="B103" t="s">
        <v>52</v>
      </c>
      <c r="C103" t="s">
        <v>41</v>
      </c>
      <c r="D103" t="s">
        <v>53</v>
      </c>
      <c r="E103">
        <v>11</v>
      </c>
      <c r="F103">
        <v>1174</v>
      </c>
      <c r="G103">
        <v>0</v>
      </c>
      <c r="H103">
        <v>12914</v>
      </c>
      <c r="I103" t="str">
        <f t="shared" si="12"/>
        <v>Rohan S</v>
      </c>
      <c r="J103" t="str">
        <f t="shared" si="13"/>
        <v>Southeast</v>
      </c>
      <c r="K103" t="str">
        <f t="shared" si="14"/>
        <v>Charger</v>
      </c>
      <c r="L103">
        <f t="shared" si="15"/>
        <v>11</v>
      </c>
      <c r="M103">
        <f t="shared" si="16"/>
        <v>1174</v>
      </c>
      <c r="N103" s="2">
        <f t="shared" si="17"/>
        <v>0</v>
      </c>
      <c r="O103">
        <f t="shared" si="18"/>
        <v>12914</v>
      </c>
      <c r="P103" t="str">
        <f t="shared" si="19"/>
        <v>Normal Sale</v>
      </c>
      <c r="Q103" t="str">
        <f t="shared" si="20"/>
        <v>No</v>
      </c>
      <c r="R103" t="str" cm="1">
        <f t="array" ref="R103">_xlfn.IFS(L103&gt;=20,"Bulk",L103&gt;=10,"Medium",L103&lt;10,"Low")</f>
        <v>Medium</v>
      </c>
      <c r="S103" t="str" cm="1">
        <f t="array" ref="S103">_xlfn.IFS(O103&gt;30000,"Premium",30000&lt;O103&gt;10000,"Standard",O103&lt;10000,"Budget")</f>
        <v>Standard</v>
      </c>
    </row>
    <row r="104" spans="1:19" x14ac:dyDescent="0.35">
      <c r="A104" s="1">
        <v>45472</v>
      </c>
      <c r="B104" t="s">
        <v>26</v>
      </c>
      <c r="C104" t="s">
        <v>13</v>
      </c>
      <c r="D104" t="s">
        <v>30</v>
      </c>
      <c r="E104">
        <v>4</v>
      </c>
      <c r="F104">
        <v>-800</v>
      </c>
      <c r="G104">
        <v>10</v>
      </c>
      <c r="H104">
        <v>-2880</v>
      </c>
      <c r="I104" t="str">
        <f t="shared" si="12"/>
        <v>Kabir</v>
      </c>
      <c r="J104" t="str">
        <f t="shared" si="13"/>
        <v>Northeast</v>
      </c>
      <c r="K104" t="str">
        <f t="shared" si="14"/>
        <v>Keyboard</v>
      </c>
      <c r="L104">
        <f t="shared" si="15"/>
        <v>4</v>
      </c>
      <c r="M104">
        <f t="shared" si="16"/>
        <v>800</v>
      </c>
      <c r="N104" s="2">
        <f t="shared" si="17"/>
        <v>10</v>
      </c>
      <c r="O104">
        <f t="shared" si="18"/>
        <v>2880</v>
      </c>
      <c r="P104" t="str">
        <f t="shared" si="19"/>
        <v>Normal Sale</v>
      </c>
      <c r="Q104" t="str">
        <f t="shared" si="20"/>
        <v>Yes</v>
      </c>
      <c r="R104" t="str" cm="1">
        <f t="array" ref="R104">_xlfn.IFS(L104&gt;=20,"Bulk",L104&gt;=10,"Medium",L104&lt;10,"Low")</f>
        <v>Low</v>
      </c>
      <c r="S104" t="str" cm="1">
        <f t="array" ref="S104">_xlfn.IFS(O104&gt;30000,"Premium",30000&lt;O104&gt;10000,"Standard",O104&lt;10000,"Budget")</f>
        <v>Standard</v>
      </c>
    </row>
    <row r="105" spans="1:19" x14ac:dyDescent="0.35">
      <c r="A105" s="1">
        <v>45610</v>
      </c>
      <c r="B105" t="s">
        <v>46</v>
      </c>
      <c r="C105" t="s">
        <v>36</v>
      </c>
      <c r="D105" t="s">
        <v>14</v>
      </c>
      <c r="E105">
        <v>6</v>
      </c>
      <c r="F105">
        <v>-2066</v>
      </c>
      <c r="G105">
        <v>20</v>
      </c>
      <c r="H105">
        <v>-9916.7999999999993</v>
      </c>
      <c r="I105" t="str">
        <f t="shared" si="12"/>
        <v>Jasmin</v>
      </c>
      <c r="J105" t="str">
        <f t="shared" si="13"/>
        <v>West</v>
      </c>
      <c r="K105" t="str">
        <f t="shared" si="14"/>
        <v>Mouse</v>
      </c>
      <c r="L105">
        <f t="shared" si="15"/>
        <v>6</v>
      </c>
      <c r="M105">
        <f t="shared" si="16"/>
        <v>2066</v>
      </c>
      <c r="N105" s="2">
        <f t="shared" si="17"/>
        <v>20</v>
      </c>
      <c r="O105">
        <f t="shared" si="18"/>
        <v>9916.7999999999993</v>
      </c>
      <c r="P105" t="str">
        <f t="shared" si="19"/>
        <v>Normal Sale</v>
      </c>
      <c r="Q105" t="str">
        <f t="shared" si="20"/>
        <v>Yes</v>
      </c>
      <c r="R105" t="str" cm="1">
        <f t="array" ref="R105">_xlfn.IFS(L105&gt;=20,"Bulk",L105&gt;=10,"Medium",L105&lt;10,"Low")</f>
        <v>Low</v>
      </c>
      <c r="S105" t="str" cm="1">
        <f t="array" ref="S105">_xlfn.IFS(O105&gt;30000,"Premium",30000&lt;O105&gt;10000,"Standard",O105&lt;10000,"Budget")</f>
        <v>Standard</v>
      </c>
    </row>
    <row r="106" spans="1:19" x14ac:dyDescent="0.35">
      <c r="A106" s="1">
        <v>45441</v>
      </c>
      <c r="B106" t="s">
        <v>24</v>
      </c>
      <c r="C106" t="s">
        <v>34</v>
      </c>
      <c r="D106" t="s">
        <v>32</v>
      </c>
      <c r="E106">
        <v>12</v>
      </c>
      <c r="F106">
        <v>90</v>
      </c>
      <c r="G106">
        <v>20</v>
      </c>
      <c r="H106">
        <v>864</v>
      </c>
      <c r="I106" t="str">
        <f t="shared" si="12"/>
        <v>Sourav</v>
      </c>
      <c r="J106" t="str">
        <f t="shared" si="13"/>
        <v>East</v>
      </c>
      <c r="K106" t="str">
        <f t="shared" si="14"/>
        <v>Headphones</v>
      </c>
      <c r="L106">
        <f t="shared" si="15"/>
        <v>12</v>
      </c>
      <c r="M106">
        <f t="shared" si="16"/>
        <v>90</v>
      </c>
      <c r="N106" s="2">
        <f t="shared" si="17"/>
        <v>20</v>
      </c>
      <c r="O106">
        <f t="shared" si="18"/>
        <v>864</v>
      </c>
      <c r="P106" t="str">
        <f t="shared" si="19"/>
        <v>Normal Sale</v>
      </c>
      <c r="Q106" t="str">
        <f t="shared" si="20"/>
        <v>Yes</v>
      </c>
      <c r="R106" t="str" cm="1">
        <f t="array" ref="R106">_xlfn.IFS(L106&gt;=20,"Bulk",L106&gt;=10,"Medium",L106&lt;10,"Low")</f>
        <v>Medium</v>
      </c>
      <c r="S106" t="str" cm="1">
        <f t="array" ref="S106">_xlfn.IFS(O106&gt;30000,"Premium",30000&lt;O106&gt;10000,"Standard",O106&lt;10000,"Budget")</f>
        <v>Standard</v>
      </c>
    </row>
    <row r="107" spans="1:19" x14ac:dyDescent="0.35">
      <c r="A107" s="1">
        <v>45541</v>
      </c>
      <c r="B107" t="s">
        <v>18</v>
      </c>
      <c r="C107" t="s">
        <v>40</v>
      </c>
      <c r="D107" t="s">
        <v>19</v>
      </c>
      <c r="E107">
        <v>19</v>
      </c>
      <c r="F107">
        <v>14570</v>
      </c>
      <c r="G107">
        <v>0</v>
      </c>
      <c r="H107">
        <v>276830</v>
      </c>
      <c r="I107" t="str">
        <f t="shared" si="12"/>
        <v>Arjun</v>
      </c>
      <c r="J107" t="str">
        <f t="shared" si="13"/>
        <v>Central</v>
      </c>
      <c r="K107" t="str">
        <f t="shared" si="14"/>
        <v>Monitor</v>
      </c>
      <c r="L107">
        <f t="shared" si="15"/>
        <v>19</v>
      </c>
      <c r="M107">
        <f t="shared" si="16"/>
        <v>14570</v>
      </c>
      <c r="N107" s="2">
        <f t="shared" si="17"/>
        <v>0</v>
      </c>
      <c r="O107">
        <f t="shared" si="18"/>
        <v>276830</v>
      </c>
      <c r="P107" t="str">
        <f t="shared" si="19"/>
        <v>High Value</v>
      </c>
      <c r="Q107" t="str">
        <f t="shared" si="20"/>
        <v>No</v>
      </c>
      <c r="R107" t="str" cm="1">
        <f t="array" ref="R107">_xlfn.IFS(L107&gt;=20,"Bulk",L107&gt;=10,"Medium",L107&lt;10,"Low")</f>
        <v>Medium</v>
      </c>
      <c r="S107" t="str" cm="1">
        <f t="array" ref="S107">_xlfn.IFS(O107&gt;30000,"Premium",30000&lt;O107&gt;10000,"Standard",O107&lt;10000,"Budget")</f>
        <v>Premium</v>
      </c>
    </row>
    <row r="108" spans="1:19" x14ac:dyDescent="0.35">
      <c r="A108" s="1">
        <v>45435</v>
      </c>
      <c r="B108" t="s">
        <v>44</v>
      </c>
      <c r="C108" t="s">
        <v>16</v>
      </c>
      <c r="D108" t="s">
        <v>32</v>
      </c>
      <c r="E108">
        <v>12</v>
      </c>
      <c r="F108">
        <v>2306</v>
      </c>
      <c r="G108">
        <v>0</v>
      </c>
      <c r="H108">
        <v>27672</v>
      </c>
      <c r="I108" t="str">
        <f t="shared" si="12"/>
        <v>Ritika</v>
      </c>
      <c r="J108" t="str">
        <f t="shared" si="13"/>
        <v>North</v>
      </c>
      <c r="K108" t="str">
        <f t="shared" si="14"/>
        <v>Headphones</v>
      </c>
      <c r="L108">
        <f t="shared" si="15"/>
        <v>12</v>
      </c>
      <c r="M108">
        <f t="shared" si="16"/>
        <v>2306</v>
      </c>
      <c r="N108" s="2">
        <f t="shared" si="17"/>
        <v>0</v>
      </c>
      <c r="O108">
        <f t="shared" si="18"/>
        <v>27672</v>
      </c>
      <c r="P108" t="str">
        <f t="shared" si="19"/>
        <v>Normal Sale</v>
      </c>
      <c r="Q108" t="str">
        <f t="shared" si="20"/>
        <v>No</v>
      </c>
      <c r="R108" t="str" cm="1">
        <f t="array" ref="R108">_xlfn.IFS(L108&gt;=20,"Bulk",L108&gt;=10,"Medium",L108&lt;10,"Low")</f>
        <v>Medium</v>
      </c>
      <c r="S108" t="str" cm="1">
        <f t="array" ref="S108">_xlfn.IFS(O108&gt;30000,"Premium",30000&lt;O108&gt;10000,"Standard",O108&lt;10000,"Budget")</f>
        <v>Standard</v>
      </c>
    </row>
    <row r="109" spans="1:19" x14ac:dyDescent="0.35">
      <c r="A109" s="1">
        <v>45408</v>
      </c>
      <c r="B109" t="s">
        <v>31</v>
      </c>
      <c r="C109" t="s">
        <v>16</v>
      </c>
      <c r="D109" t="s">
        <v>17</v>
      </c>
      <c r="E109">
        <v>15</v>
      </c>
      <c r="F109">
        <v>6293</v>
      </c>
      <c r="G109">
        <v>10</v>
      </c>
      <c r="H109">
        <v>84955.5</v>
      </c>
      <c r="I109" t="str">
        <f t="shared" si="12"/>
        <v>Rhea</v>
      </c>
      <c r="J109" t="str">
        <f t="shared" si="13"/>
        <v>North</v>
      </c>
      <c r="K109" t="str">
        <f t="shared" si="14"/>
        <v>Router</v>
      </c>
      <c r="L109">
        <f t="shared" si="15"/>
        <v>15</v>
      </c>
      <c r="M109">
        <f t="shared" si="16"/>
        <v>6293</v>
      </c>
      <c r="N109" s="2">
        <f t="shared" si="17"/>
        <v>10</v>
      </c>
      <c r="O109">
        <f t="shared" si="18"/>
        <v>84955.5</v>
      </c>
      <c r="P109" t="str">
        <f t="shared" si="19"/>
        <v>High Value</v>
      </c>
      <c r="Q109" t="str">
        <f t="shared" si="20"/>
        <v>Yes</v>
      </c>
      <c r="R109" t="str" cm="1">
        <f t="array" ref="R109">_xlfn.IFS(L109&gt;=20,"Bulk",L109&gt;=10,"Medium",L109&lt;10,"Low")</f>
        <v>Medium</v>
      </c>
      <c r="S109" t="str" cm="1">
        <f t="array" ref="S109">_xlfn.IFS(O109&gt;30000,"Premium",30000&lt;O109&gt;10000,"Standard",O109&lt;10000,"Budget")</f>
        <v>Premium</v>
      </c>
    </row>
    <row r="110" spans="1:19" x14ac:dyDescent="0.35">
      <c r="A110" s="1">
        <v>45470</v>
      </c>
      <c r="B110" t="s">
        <v>22</v>
      </c>
      <c r="C110" t="s">
        <v>16</v>
      </c>
      <c r="D110" t="s">
        <v>17</v>
      </c>
      <c r="E110">
        <v>30</v>
      </c>
      <c r="F110">
        <v>4800</v>
      </c>
      <c r="G110">
        <v>15</v>
      </c>
      <c r="H110">
        <v>122400</v>
      </c>
      <c r="I110" t="str">
        <f t="shared" si="12"/>
        <v>Aarav</v>
      </c>
      <c r="J110" t="str">
        <f t="shared" si="13"/>
        <v>North</v>
      </c>
      <c r="K110" t="str">
        <f t="shared" si="14"/>
        <v>Router</v>
      </c>
      <c r="L110">
        <f t="shared" si="15"/>
        <v>30</v>
      </c>
      <c r="M110">
        <f t="shared" si="16"/>
        <v>4800</v>
      </c>
      <c r="N110" s="2">
        <f t="shared" si="17"/>
        <v>15</v>
      </c>
      <c r="O110">
        <f t="shared" si="18"/>
        <v>122400</v>
      </c>
      <c r="P110" t="str">
        <f t="shared" si="19"/>
        <v>High Value</v>
      </c>
      <c r="Q110" t="str">
        <f t="shared" si="20"/>
        <v>Yes</v>
      </c>
      <c r="R110" t="str" cm="1">
        <f t="array" ref="R110">_xlfn.IFS(L110&gt;=20,"Bulk",L110&gt;=10,"Medium",L110&lt;10,"Low")</f>
        <v>Bulk</v>
      </c>
      <c r="S110" t="str" cm="1">
        <f t="array" ref="S110">_xlfn.IFS(O110&gt;30000,"Premium",30000&lt;O110&gt;10000,"Standard",O110&lt;10000,"Budget")</f>
        <v>Premium</v>
      </c>
    </row>
    <row r="111" spans="1:19" x14ac:dyDescent="0.35">
      <c r="A111" s="1">
        <v>45321</v>
      </c>
      <c r="B111" t="s">
        <v>51</v>
      </c>
      <c r="C111" t="s">
        <v>13</v>
      </c>
      <c r="D111" t="s">
        <v>53</v>
      </c>
      <c r="G111">
        <v>15</v>
      </c>
      <c r="H111">
        <v>-18655.8</v>
      </c>
      <c r="I111" t="str">
        <f t="shared" si="12"/>
        <v>Vikram</v>
      </c>
      <c r="J111" t="str">
        <f t="shared" si="13"/>
        <v>Northeast</v>
      </c>
      <c r="K111" t="str">
        <f t="shared" si="14"/>
        <v>Charger</v>
      </c>
      <c r="L111">
        <f t="shared" si="15"/>
        <v>0</v>
      </c>
      <c r="M111">
        <f t="shared" si="16"/>
        <v>0</v>
      </c>
      <c r="N111" s="2">
        <f t="shared" si="17"/>
        <v>15</v>
      </c>
      <c r="O111">
        <f t="shared" si="18"/>
        <v>18655.8</v>
      </c>
      <c r="P111" t="str">
        <f t="shared" si="19"/>
        <v>Normal Sale</v>
      </c>
      <c r="Q111" t="str">
        <f t="shared" si="20"/>
        <v>Yes</v>
      </c>
      <c r="R111" t="str" cm="1">
        <f t="array" ref="R111">_xlfn.IFS(L111&gt;=20,"Bulk",L111&gt;=10,"Medium",L111&lt;10,"Low")</f>
        <v>Low</v>
      </c>
      <c r="S111" t="str" cm="1">
        <f t="array" ref="S111">_xlfn.IFS(O111&gt;30000,"Premium",30000&lt;O111&gt;10000,"Standard",O111&lt;10000,"Budget")</f>
        <v>Standard</v>
      </c>
    </row>
    <row r="112" spans="1:19" x14ac:dyDescent="0.35">
      <c r="A112" s="1">
        <v>45591</v>
      </c>
      <c r="B112" t="s">
        <v>39</v>
      </c>
      <c r="C112" t="s">
        <v>20</v>
      </c>
      <c r="D112" t="s">
        <v>19</v>
      </c>
      <c r="E112">
        <v>12</v>
      </c>
      <c r="F112">
        <v>9693</v>
      </c>
      <c r="G112">
        <v>20</v>
      </c>
      <c r="H112">
        <v>93052.800000000003</v>
      </c>
      <c r="I112" t="str">
        <f t="shared" si="12"/>
        <v>Karan</v>
      </c>
      <c r="J112" t="str">
        <f t="shared" si="13"/>
        <v>Southwest</v>
      </c>
      <c r="K112" t="str">
        <f t="shared" si="14"/>
        <v>Monitor</v>
      </c>
      <c r="L112">
        <f t="shared" si="15"/>
        <v>12</v>
      </c>
      <c r="M112">
        <f t="shared" si="16"/>
        <v>9693</v>
      </c>
      <c r="N112" s="2">
        <f t="shared" si="17"/>
        <v>20</v>
      </c>
      <c r="O112">
        <f t="shared" si="18"/>
        <v>93052.800000000003</v>
      </c>
      <c r="P112" t="str">
        <f t="shared" si="19"/>
        <v>High Value</v>
      </c>
      <c r="Q112" t="str">
        <f t="shared" si="20"/>
        <v>Yes</v>
      </c>
      <c r="R112" t="str" cm="1">
        <f t="array" ref="R112">_xlfn.IFS(L112&gt;=20,"Bulk",L112&gt;=10,"Medium",L112&lt;10,"Low")</f>
        <v>Medium</v>
      </c>
      <c r="S112" t="str" cm="1">
        <f t="array" ref="S112">_xlfn.IFS(O112&gt;30000,"Premium",30000&lt;O112&gt;10000,"Standard",O112&lt;10000,"Budget")</f>
        <v>Premium</v>
      </c>
    </row>
    <row r="113" spans="1:19" x14ac:dyDescent="0.35">
      <c r="A113" s="1">
        <v>45296</v>
      </c>
      <c r="B113" t="s">
        <v>12</v>
      </c>
      <c r="C113" t="s">
        <v>20</v>
      </c>
      <c r="D113" t="s">
        <v>32</v>
      </c>
      <c r="E113">
        <v>23</v>
      </c>
      <c r="F113">
        <v>4890</v>
      </c>
      <c r="H113">
        <v>112470</v>
      </c>
      <c r="I113" t="str">
        <f t="shared" si="12"/>
        <v>Saanvi</v>
      </c>
      <c r="J113" t="str">
        <f t="shared" si="13"/>
        <v>Southwest</v>
      </c>
      <c r="K113" t="str">
        <f t="shared" si="14"/>
        <v>Headphones</v>
      </c>
      <c r="L113">
        <f t="shared" si="15"/>
        <v>23</v>
      </c>
      <c r="M113">
        <f t="shared" si="16"/>
        <v>4890</v>
      </c>
      <c r="N113" s="2">
        <f t="shared" si="17"/>
        <v>0</v>
      </c>
      <c r="O113">
        <f t="shared" si="18"/>
        <v>112470</v>
      </c>
      <c r="P113" t="str">
        <f t="shared" si="19"/>
        <v>High Value</v>
      </c>
      <c r="Q113" t="str">
        <f t="shared" si="20"/>
        <v>No</v>
      </c>
      <c r="R113" t="str" cm="1">
        <f t="array" ref="R113">_xlfn.IFS(L113&gt;=20,"Bulk",L113&gt;=10,"Medium",L113&lt;10,"Low")</f>
        <v>Bulk</v>
      </c>
      <c r="S113" t="str" cm="1">
        <f t="array" ref="S113">_xlfn.IFS(O113&gt;30000,"Premium",30000&lt;O113&gt;10000,"Standard",O113&lt;10000,"Budget")</f>
        <v>Premium</v>
      </c>
    </row>
    <row r="114" spans="1:19" x14ac:dyDescent="0.35">
      <c r="A114" s="1">
        <v>45388</v>
      </c>
      <c r="B114" t="s">
        <v>29</v>
      </c>
      <c r="C114" t="s">
        <v>41</v>
      </c>
      <c r="D114" t="s">
        <v>14</v>
      </c>
      <c r="E114">
        <v>26</v>
      </c>
      <c r="F114">
        <v>2710</v>
      </c>
      <c r="G114">
        <v>10</v>
      </c>
      <c r="H114">
        <v>63414</v>
      </c>
      <c r="I114" t="str">
        <f t="shared" si="12"/>
        <v>Mihir</v>
      </c>
      <c r="J114" t="str">
        <f t="shared" si="13"/>
        <v>Southeast</v>
      </c>
      <c r="K114" t="str">
        <f t="shared" si="14"/>
        <v>Mouse</v>
      </c>
      <c r="L114">
        <f t="shared" si="15"/>
        <v>26</v>
      </c>
      <c r="M114">
        <f t="shared" si="16"/>
        <v>2710</v>
      </c>
      <c r="N114" s="2">
        <f t="shared" si="17"/>
        <v>10</v>
      </c>
      <c r="O114">
        <f t="shared" si="18"/>
        <v>63414</v>
      </c>
      <c r="P114" t="str">
        <f t="shared" si="19"/>
        <v>High Value</v>
      </c>
      <c r="Q114" t="str">
        <f t="shared" si="20"/>
        <v>Yes</v>
      </c>
      <c r="R114" t="str" cm="1">
        <f t="array" ref="R114">_xlfn.IFS(L114&gt;=20,"Bulk",L114&gt;=10,"Medium",L114&lt;10,"Low")</f>
        <v>Bulk</v>
      </c>
      <c r="S114" t="str" cm="1">
        <f t="array" ref="S114">_xlfn.IFS(O114&gt;30000,"Premium",30000&lt;O114&gt;10000,"Standard",O114&lt;10000,"Budget")</f>
        <v>Premium</v>
      </c>
    </row>
    <row r="115" spans="1:19" x14ac:dyDescent="0.35">
      <c r="A115" s="1">
        <v>45557</v>
      </c>
      <c r="B115" t="s">
        <v>26</v>
      </c>
      <c r="C115" t="s">
        <v>20</v>
      </c>
      <c r="D115" t="s">
        <v>14</v>
      </c>
      <c r="E115">
        <v>5</v>
      </c>
      <c r="G115">
        <v>10</v>
      </c>
      <c r="H115">
        <v>12969</v>
      </c>
      <c r="I115" t="str">
        <f t="shared" si="12"/>
        <v>Kabir</v>
      </c>
      <c r="J115" t="str">
        <f t="shared" si="13"/>
        <v>Southwest</v>
      </c>
      <c r="K115" t="str">
        <f t="shared" si="14"/>
        <v>Mouse</v>
      </c>
      <c r="L115">
        <f t="shared" si="15"/>
        <v>5</v>
      </c>
      <c r="M115">
        <f t="shared" si="16"/>
        <v>0</v>
      </c>
      <c r="N115" s="2">
        <f t="shared" si="17"/>
        <v>10</v>
      </c>
      <c r="O115">
        <f t="shared" si="18"/>
        <v>12969</v>
      </c>
      <c r="P115" t="str">
        <f t="shared" si="19"/>
        <v>Normal Sale</v>
      </c>
      <c r="Q115" t="str">
        <f t="shared" si="20"/>
        <v>Yes</v>
      </c>
      <c r="R115" t="str" cm="1">
        <f t="array" ref="R115">_xlfn.IFS(L115&gt;=20,"Bulk",L115&gt;=10,"Medium",L115&lt;10,"Low")</f>
        <v>Low</v>
      </c>
      <c r="S115" t="str" cm="1">
        <f t="array" ref="S115">_xlfn.IFS(O115&gt;30000,"Premium",30000&lt;O115&gt;10000,"Standard",O115&lt;10000,"Budget")</f>
        <v>Standard</v>
      </c>
    </row>
    <row r="116" spans="1:19" x14ac:dyDescent="0.35">
      <c r="A116" s="1">
        <v>45320</v>
      </c>
      <c r="B116" t="s">
        <v>57</v>
      </c>
      <c r="C116" t="s">
        <v>36</v>
      </c>
      <c r="D116" t="s">
        <v>23</v>
      </c>
      <c r="E116">
        <v>1</v>
      </c>
      <c r="F116">
        <v>48368</v>
      </c>
      <c r="G116">
        <v>15</v>
      </c>
      <c r="H116">
        <v>41112.800000000003</v>
      </c>
      <c r="I116" t="str">
        <f t="shared" si="12"/>
        <v>Yuvraj</v>
      </c>
      <c r="J116" t="str">
        <f t="shared" si="13"/>
        <v>West</v>
      </c>
      <c r="K116" t="str">
        <f t="shared" si="14"/>
        <v>Laptop</v>
      </c>
      <c r="L116">
        <f t="shared" si="15"/>
        <v>1</v>
      </c>
      <c r="M116">
        <f t="shared" si="16"/>
        <v>48368</v>
      </c>
      <c r="N116" s="2">
        <f t="shared" si="17"/>
        <v>15</v>
      </c>
      <c r="O116">
        <f t="shared" si="18"/>
        <v>41112.800000000003</v>
      </c>
      <c r="P116" t="str">
        <f t="shared" si="19"/>
        <v>Normal Sale</v>
      </c>
      <c r="Q116" t="str">
        <f t="shared" si="20"/>
        <v>Yes</v>
      </c>
      <c r="R116" t="str" cm="1">
        <f t="array" ref="R116">_xlfn.IFS(L116&gt;=20,"Bulk",L116&gt;=10,"Medium",L116&lt;10,"Low")</f>
        <v>Low</v>
      </c>
      <c r="S116" t="str" cm="1">
        <f t="array" ref="S116">_xlfn.IFS(O116&gt;30000,"Premium",30000&lt;O116&gt;10000,"Standard",O116&lt;10000,"Budget")</f>
        <v>Premium</v>
      </c>
    </row>
    <row r="117" spans="1:19" x14ac:dyDescent="0.35">
      <c r="A117" s="1">
        <v>45567</v>
      </c>
      <c r="B117" t="s">
        <v>26</v>
      </c>
      <c r="C117" t="s">
        <v>13</v>
      </c>
      <c r="D117" t="s">
        <v>38</v>
      </c>
      <c r="E117">
        <v>10</v>
      </c>
      <c r="F117">
        <v>24741</v>
      </c>
      <c r="G117">
        <v>5</v>
      </c>
      <c r="H117">
        <v>235039.5</v>
      </c>
      <c r="I117" t="str">
        <f t="shared" si="12"/>
        <v>Kabir</v>
      </c>
      <c r="J117" t="str">
        <f t="shared" si="13"/>
        <v>Northeast</v>
      </c>
      <c r="K117" t="str">
        <f t="shared" si="14"/>
        <v>Smartphone</v>
      </c>
      <c r="L117">
        <f t="shared" si="15"/>
        <v>10</v>
      </c>
      <c r="M117">
        <f t="shared" si="16"/>
        <v>24741</v>
      </c>
      <c r="N117" s="2">
        <f t="shared" si="17"/>
        <v>5</v>
      </c>
      <c r="O117">
        <f t="shared" si="18"/>
        <v>235039.5</v>
      </c>
      <c r="P117" t="str">
        <f t="shared" si="19"/>
        <v>High Value</v>
      </c>
      <c r="Q117" t="str">
        <f t="shared" si="20"/>
        <v>Yes</v>
      </c>
      <c r="R117" t="str" cm="1">
        <f t="array" ref="R117">_xlfn.IFS(L117&gt;=20,"Bulk",L117&gt;=10,"Medium",L117&lt;10,"Low")</f>
        <v>Medium</v>
      </c>
      <c r="S117" t="str" cm="1">
        <f t="array" ref="S117">_xlfn.IFS(O117&gt;30000,"Premium",30000&lt;O117&gt;10000,"Standard",O117&lt;10000,"Budget")</f>
        <v>Premium</v>
      </c>
    </row>
    <row r="118" spans="1:19" x14ac:dyDescent="0.35">
      <c r="A118" s="1">
        <v>45453</v>
      </c>
      <c r="B118" t="s">
        <v>47</v>
      </c>
      <c r="D118" t="s">
        <v>23</v>
      </c>
      <c r="E118">
        <v>26</v>
      </c>
      <c r="F118">
        <v>52475</v>
      </c>
      <c r="G118">
        <v>10</v>
      </c>
      <c r="H118">
        <v>1227915</v>
      </c>
      <c r="I118" t="str">
        <f t="shared" si="12"/>
        <v>Tanya</v>
      </c>
      <c r="J118" t="str">
        <f t="shared" si="13"/>
        <v>Unknown</v>
      </c>
      <c r="K118" t="str">
        <f t="shared" si="14"/>
        <v>Laptop</v>
      </c>
      <c r="L118">
        <f t="shared" si="15"/>
        <v>26</v>
      </c>
      <c r="M118">
        <f t="shared" si="16"/>
        <v>52475</v>
      </c>
      <c r="N118" s="2">
        <f t="shared" si="17"/>
        <v>10</v>
      </c>
      <c r="O118">
        <f t="shared" si="18"/>
        <v>1227915</v>
      </c>
      <c r="P118" t="str">
        <f t="shared" si="19"/>
        <v>High Value</v>
      </c>
      <c r="Q118" t="str">
        <f t="shared" si="20"/>
        <v>Yes</v>
      </c>
      <c r="R118" t="str" cm="1">
        <f t="array" ref="R118">_xlfn.IFS(L118&gt;=20,"Bulk",L118&gt;=10,"Medium",L118&lt;10,"Low")</f>
        <v>Bulk</v>
      </c>
      <c r="S118" t="str" cm="1">
        <f t="array" ref="S118">_xlfn.IFS(O118&gt;30000,"Premium",30000&lt;O118&gt;10000,"Standard",O118&lt;10000,"Budget")</f>
        <v>Premium</v>
      </c>
    </row>
    <row r="119" spans="1:19" x14ac:dyDescent="0.35">
      <c r="A119" s="1">
        <v>45539</v>
      </c>
      <c r="B119" t="s">
        <v>22</v>
      </c>
      <c r="C119" t="s">
        <v>34</v>
      </c>
      <c r="D119" t="s">
        <v>9</v>
      </c>
      <c r="E119">
        <v>28</v>
      </c>
      <c r="F119">
        <v>8967</v>
      </c>
      <c r="G119">
        <v>10</v>
      </c>
      <c r="H119">
        <v>225968.4</v>
      </c>
      <c r="I119" t="str">
        <f t="shared" si="12"/>
        <v>Aarav</v>
      </c>
      <c r="J119" t="str">
        <f t="shared" si="13"/>
        <v>East</v>
      </c>
      <c r="K119" t="str">
        <f t="shared" si="14"/>
        <v>Printer</v>
      </c>
      <c r="L119">
        <f t="shared" si="15"/>
        <v>28</v>
      </c>
      <c r="M119">
        <f t="shared" si="16"/>
        <v>8967</v>
      </c>
      <c r="N119" s="2">
        <f t="shared" si="17"/>
        <v>10</v>
      </c>
      <c r="O119">
        <f t="shared" si="18"/>
        <v>225968.4</v>
      </c>
      <c r="P119" t="str">
        <f t="shared" si="19"/>
        <v>High Value</v>
      </c>
      <c r="Q119" t="str">
        <f t="shared" si="20"/>
        <v>Yes</v>
      </c>
      <c r="R119" t="str" cm="1">
        <f t="array" ref="R119">_xlfn.IFS(L119&gt;=20,"Bulk",L119&gt;=10,"Medium",L119&lt;10,"Low")</f>
        <v>Bulk</v>
      </c>
      <c r="S119" t="str" cm="1">
        <f t="array" ref="S119">_xlfn.IFS(O119&gt;30000,"Premium",30000&lt;O119&gt;10000,"Standard",O119&lt;10000,"Budget")</f>
        <v>Premium</v>
      </c>
    </row>
    <row r="120" spans="1:19" x14ac:dyDescent="0.35">
      <c r="A120" s="1">
        <v>45614</v>
      </c>
      <c r="B120" t="s">
        <v>56</v>
      </c>
      <c r="C120" t="s">
        <v>40</v>
      </c>
      <c r="D120" t="s">
        <v>21</v>
      </c>
      <c r="E120">
        <v>16</v>
      </c>
      <c r="F120">
        <v>-242</v>
      </c>
      <c r="G120">
        <v>20</v>
      </c>
      <c r="H120">
        <v>-3097.6</v>
      </c>
      <c r="I120" t="str">
        <f t="shared" si="12"/>
        <v>Ananya</v>
      </c>
      <c r="J120" t="str">
        <f t="shared" si="13"/>
        <v>Central</v>
      </c>
      <c r="K120" t="str">
        <f t="shared" si="14"/>
        <v>Webcam</v>
      </c>
      <c r="L120">
        <f t="shared" si="15"/>
        <v>16</v>
      </c>
      <c r="M120">
        <f t="shared" si="16"/>
        <v>242</v>
      </c>
      <c r="N120" s="2">
        <f t="shared" si="17"/>
        <v>20</v>
      </c>
      <c r="O120">
        <f t="shared" si="18"/>
        <v>3097.6</v>
      </c>
      <c r="P120" t="str">
        <f t="shared" si="19"/>
        <v>Normal Sale</v>
      </c>
      <c r="Q120" t="str">
        <f t="shared" si="20"/>
        <v>Yes</v>
      </c>
      <c r="R120" t="str" cm="1">
        <f t="array" ref="R120">_xlfn.IFS(L120&gt;=20,"Bulk",L120&gt;=10,"Medium",L120&lt;10,"Low")</f>
        <v>Medium</v>
      </c>
      <c r="S120" t="str" cm="1">
        <f t="array" ref="S120">_xlfn.IFS(O120&gt;30000,"Premium",30000&lt;O120&gt;10000,"Standard",O120&lt;10000,"Budget")</f>
        <v>Standard</v>
      </c>
    </row>
    <row r="121" spans="1:19" x14ac:dyDescent="0.35">
      <c r="A121" s="1">
        <v>45419</v>
      </c>
      <c r="B121" t="s">
        <v>55</v>
      </c>
      <c r="C121" t="s">
        <v>11</v>
      </c>
      <c r="D121" t="s">
        <v>28</v>
      </c>
      <c r="E121">
        <v>11</v>
      </c>
      <c r="F121">
        <v>3439</v>
      </c>
      <c r="G121">
        <v>0</v>
      </c>
      <c r="H121">
        <v>37829</v>
      </c>
      <c r="I121" t="str">
        <f t="shared" si="12"/>
        <v>Meera</v>
      </c>
      <c r="J121" t="str">
        <f t="shared" si="13"/>
        <v>South</v>
      </c>
      <c r="K121" t="str">
        <f t="shared" si="14"/>
        <v>Speaker</v>
      </c>
      <c r="L121">
        <f t="shared" si="15"/>
        <v>11</v>
      </c>
      <c r="M121">
        <f t="shared" si="16"/>
        <v>3439</v>
      </c>
      <c r="N121" s="2">
        <f t="shared" si="17"/>
        <v>0</v>
      </c>
      <c r="O121">
        <f t="shared" si="18"/>
        <v>37829</v>
      </c>
      <c r="P121" t="str">
        <f t="shared" si="19"/>
        <v>Normal Sale</v>
      </c>
      <c r="Q121" t="str">
        <f t="shared" si="20"/>
        <v>No</v>
      </c>
      <c r="R121" t="str" cm="1">
        <f t="array" ref="R121">_xlfn.IFS(L121&gt;=20,"Bulk",L121&gt;=10,"Medium",L121&lt;10,"Low")</f>
        <v>Medium</v>
      </c>
      <c r="S121" t="str" cm="1">
        <f t="array" ref="S121">_xlfn.IFS(O121&gt;30000,"Premium",30000&lt;O121&gt;10000,"Standard",O121&lt;10000,"Budget")</f>
        <v>Premium</v>
      </c>
    </row>
    <row r="122" spans="1:19" x14ac:dyDescent="0.35">
      <c r="A122" s="1">
        <v>45566</v>
      </c>
      <c r="B122" t="s">
        <v>10</v>
      </c>
      <c r="C122" t="s">
        <v>40</v>
      </c>
      <c r="D122" t="s">
        <v>14</v>
      </c>
      <c r="E122">
        <v>28</v>
      </c>
      <c r="F122">
        <v>3046</v>
      </c>
      <c r="H122">
        <v>85288</v>
      </c>
      <c r="I122" t="str">
        <f t="shared" si="12"/>
        <v>Preeti</v>
      </c>
      <c r="J122" t="str">
        <f t="shared" si="13"/>
        <v>Central</v>
      </c>
      <c r="K122" t="str">
        <f t="shared" si="14"/>
        <v>Mouse</v>
      </c>
      <c r="L122">
        <f t="shared" si="15"/>
        <v>28</v>
      </c>
      <c r="M122">
        <f t="shared" si="16"/>
        <v>3046</v>
      </c>
      <c r="N122" s="2">
        <f t="shared" si="17"/>
        <v>0</v>
      </c>
      <c r="O122">
        <f t="shared" si="18"/>
        <v>85288</v>
      </c>
      <c r="P122" t="str">
        <f t="shared" si="19"/>
        <v>High Value</v>
      </c>
      <c r="Q122" t="str">
        <f t="shared" si="20"/>
        <v>No</v>
      </c>
      <c r="R122" t="str" cm="1">
        <f t="array" ref="R122">_xlfn.IFS(L122&gt;=20,"Bulk",L122&gt;=10,"Medium",L122&lt;10,"Low")</f>
        <v>Bulk</v>
      </c>
      <c r="S122" t="str" cm="1">
        <f t="array" ref="S122">_xlfn.IFS(O122&gt;30000,"Premium",30000&lt;O122&gt;10000,"Standard",O122&lt;10000,"Budget")</f>
        <v>Premium</v>
      </c>
    </row>
    <row r="123" spans="1:19" x14ac:dyDescent="0.35">
      <c r="A123" s="1">
        <v>45345</v>
      </c>
      <c r="B123" t="s">
        <v>47</v>
      </c>
      <c r="C123" t="s">
        <v>41</v>
      </c>
      <c r="D123" t="s">
        <v>19</v>
      </c>
      <c r="E123">
        <v>11</v>
      </c>
      <c r="F123">
        <v>9683</v>
      </c>
      <c r="G123">
        <v>0</v>
      </c>
      <c r="H123">
        <v>106513</v>
      </c>
      <c r="I123" t="str">
        <f t="shared" si="12"/>
        <v>Tanya</v>
      </c>
      <c r="J123" t="str">
        <f t="shared" si="13"/>
        <v>Southeast</v>
      </c>
      <c r="K123" t="str">
        <f t="shared" si="14"/>
        <v>Monitor</v>
      </c>
      <c r="L123">
        <f t="shared" si="15"/>
        <v>11</v>
      </c>
      <c r="M123">
        <f t="shared" si="16"/>
        <v>9683</v>
      </c>
      <c r="N123" s="2">
        <f t="shared" si="17"/>
        <v>0</v>
      </c>
      <c r="O123">
        <f t="shared" si="18"/>
        <v>106513</v>
      </c>
      <c r="P123" t="str">
        <f t="shared" si="19"/>
        <v>High Value</v>
      </c>
      <c r="Q123" t="str">
        <f t="shared" si="20"/>
        <v>No</v>
      </c>
      <c r="R123" t="str" cm="1">
        <f t="array" ref="R123">_xlfn.IFS(L123&gt;=20,"Bulk",L123&gt;=10,"Medium",L123&lt;10,"Low")</f>
        <v>Medium</v>
      </c>
      <c r="S123" t="str" cm="1">
        <f t="array" ref="S123">_xlfn.IFS(O123&gt;30000,"Premium",30000&lt;O123&gt;10000,"Standard",O123&lt;10000,"Budget")</f>
        <v>Premium</v>
      </c>
    </row>
    <row r="124" spans="1:19" x14ac:dyDescent="0.35">
      <c r="A124" s="1">
        <v>45615</v>
      </c>
      <c r="B124" t="s">
        <v>56</v>
      </c>
      <c r="C124" t="s">
        <v>20</v>
      </c>
      <c r="D124" t="s">
        <v>38</v>
      </c>
      <c r="E124">
        <v>20</v>
      </c>
      <c r="F124">
        <v>24776</v>
      </c>
      <c r="G124">
        <v>5</v>
      </c>
      <c r="H124">
        <v>470744</v>
      </c>
      <c r="I124" t="str">
        <f t="shared" si="12"/>
        <v>Ananya</v>
      </c>
      <c r="J124" t="str">
        <f t="shared" si="13"/>
        <v>Southwest</v>
      </c>
      <c r="K124" t="str">
        <f t="shared" si="14"/>
        <v>Smartphone</v>
      </c>
      <c r="L124">
        <f t="shared" si="15"/>
        <v>20</v>
      </c>
      <c r="M124">
        <f t="shared" si="16"/>
        <v>24776</v>
      </c>
      <c r="N124" s="2">
        <f t="shared" si="17"/>
        <v>5</v>
      </c>
      <c r="O124">
        <f t="shared" si="18"/>
        <v>470744</v>
      </c>
      <c r="P124" t="str">
        <f t="shared" si="19"/>
        <v>High Value</v>
      </c>
      <c r="Q124" t="str">
        <f t="shared" si="20"/>
        <v>Yes</v>
      </c>
      <c r="R124" t="str" cm="1">
        <f t="array" ref="R124">_xlfn.IFS(L124&gt;=20,"Bulk",L124&gt;=10,"Medium",L124&lt;10,"Low")</f>
        <v>Bulk</v>
      </c>
      <c r="S124" t="str" cm="1">
        <f t="array" ref="S124">_xlfn.IFS(O124&gt;30000,"Premium",30000&lt;O124&gt;10000,"Standard",O124&lt;10000,"Budget")</f>
        <v>Premium</v>
      </c>
    </row>
    <row r="125" spans="1:19" x14ac:dyDescent="0.35">
      <c r="A125" s="1">
        <v>45539</v>
      </c>
      <c r="B125" t="s">
        <v>50</v>
      </c>
      <c r="C125" t="s">
        <v>16</v>
      </c>
      <c r="D125" t="s">
        <v>17</v>
      </c>
      <c r="E125">
        <v>10</v>
      </c>
      <c r="F125">
        <v>6208</v>
      </c>
      <c r="G125">
        <v>0</v>
      </c>
      <c r="H125">
        <v>62080</v>
      </c>
      <c r="I125" t="str">
        <f t="shared" si="12"/>
        <v>Omkar</v>
      </c>
      <c r="J125" t="str">
        <f t="shared" si="13"/>
        <v>North</v>
      </c>
      <c r="K125" t="str">
        <f t="shared" si="14"/>
        <v>Router</v>
      </c>
      <c r="L125">
        <f t="shared" si="15"/>
        <v>10</v>
      </c>
      <c r="M125">
        <f t="shared" si="16"/>
        <v>6208</v>
      </c>
      <c r="N125" s="2">
        <f t="shared" si="17"/>
        <v>0</v>
      </c>
      <c r="O125">
        <f t="shared" si="18"/>
        <v>62080</v>
      </c>
      <c r="P125" t="str">
        <f t="shared" si="19"/>
        <v>High Value</v>
      </c>
      <c r="Q125" t="str">
        <f t="shared" si="20"/>
        <v>No</v>
      </c>
      <c r="R125" t="str" cm="1">
        <f t="array" ref="R125">_xlfn.IFS(L125&gt;=20,"Bulk",L125&gt;=10,"Medium",L125&lt;10,"Low")</f>
        <v>Medium</v>
      </c>
      <c r="S125" t="str" cm="1">
        <f t="array" ref="S125">_xlfn.IFS(O125&gt;30000,"Premium",30000&lt;O125&gt;10000,"Standard",O125&lt;10000,"Budget")</f>
        <v>Premium</v>
      </c>
    </row>
    <row r="126" spans="1:19" x14ac:dyDescent="0.35">
      <c r="A126" s="1">
        <v>45310</v>
      </c>
      <c r="B126" t="s">
        <v>37</v>
      </c>
      <c r="C126" t="s">
        <v>34</v>
      </c>
      <c r="D126" t="s">
        <v>30</v>
      </c>
      <c r="E126">
        <v>4</v>
      </c>
      <c r="F126">
        <v>416</v>
      </c>
      <c r="G126">
        <v>5</v>
      </c>
      <c r="H126">
        <v>1580.8</v>
      </c>
      <c r="I126" t="str">
        <f t="shared" si="12"/>
        <v>Ishita</v>
      </c>
      <c r="J126" t="str">
        <f t="shared" si="13"/>
        <v>East</v>
      </c>
      <c r="K126" t="str">
        <f t="shared" si="14"/>
        <v>Keyboard</v>
      </c>
      <c r="L126">
        <f t="shared" si="15"/>
        <v>4</v>
      </c>
      <c r="M126">
        <f t="shared" si="16"/>
        <v>416</v>
      </c>
      <c r="N126" s="2">
        <f t="shared" si="17"/>
        <v>5</v>
      </c>
      <c r="O126">
        <f t="shared" si="18"/>
        <v>1580.8</v>
      </c>
      <c r="P126" t="str">
        <f t="shared" si="19"/>
        <v>Normal Sale</v>
      </c>
      <c r="Q126" t="str">
        <f t="shared" si="20"/>
        <v>Yes</v>
      </c>
      <c r="R126" t="str" cm="1">
        <f t="array" ref="R126">_xlfn.IFS(L126&gt;=20,"Bulk",L126&gt;=10,"Medium",L126&lt;10,"Low")</f>
        <v>Low</v>
      </c>
      <c r="S126" t="str" cm="1">
        <f t="array" ref="S126">_xlfn.IFS(O126&gt;30000,"Premium",30000&lt;O126&gt;10000,"Standard",O126&lt;10000,"Budget")</f>
        <v>Standard</v>
      </c>
    </row>
    <row r="127" spans="1:19" x14ac:dyDescent="0.35">
      <c r="A127" s="1">
        <v>45540</v>
      </c>
      <c r="B127" t="s">
        <v>46</v>
      </c>
      <c r="C127" t="s">
        <v>34</v>
      </c>
      <c r="D127" t="s">
        <v>21</v>
      </c>
      <c r="E127">
        <v>23</v>
      </c>
      <c r="F127">
        <v>2799</v>
      </c>
      <c r="G127">
        <v>10</v>
      </c>
      <c r="H127">
        <v>57939.3</v>
      </c>
      <c r="I127" t="str">
        <f t="shared" si="12"/>
        <v>Jasmin</v>
      </c>
      <c r="J127" t="str">
        <f t="shared" si="13"/>
        <v>East</v>
      </c>
      <c r="K127" t="str">
        <f t="shared" si="14"/>
        <v>Webcam</v>
      </c>
      <c r="L127">
        <f t="shared" si="15"/>
        <v>23</v>
      </c>
      <c r="M127">
        <f t="shared" si="16"/>
        <v>2799</v>
      </c>
      <c r="N127" s="2">
        <f t="shared" si="17"/>
        <v>10</v>
      </c>
      <c r="O127">
        <f t="shared" si="18"/>
        <v>57939.3</v>
      </c>
      <c r="P127" t="str">
        <f t="shared" si="19"/>
        <v>High Value</v>
      </c>
      <c r="Q127" t="str">
        <f t="shared" si="20"/>
        <v>Yes</v>
      </c>
      <c r="R127" t="str" cm="1">
        <f t="array" ref="R127">_xlfn.IFS(L127&gt;=20,"Bulk",L127&gt;=10,"Medium",L127&lt;10,"Low")</f>
        <v>Bulk</v>
      </c>
      <c r="S127" t="str" cm="1">
        <f t="array" ref="S127">_xlfn.IFS(O127&gt;30000,"Premium",30000&lt;O127&gt;10000,"Standard",O127&lt;10000,"Budget")</f>
        <v>Premium</v>
      </c>
    </row>
    <row r="128" spans="1:19" x14ac:dyDescent="0.35">
      <c r="A128" s="1">
        <v>45489</v>
      </c>
      <c r="B128" t="s">
        <v>48</v>
      </c>
      <c r="C128" t="s">
        <v>34</v>
      </c>
      <c r="D128" t="s">
        <v>53</v>
      </c>
      <c r="E128">
        <v>25</v>
      </c>
      <c r="F128">
        <v>-31</v>
      </c>
      <c r="G128">
        <v>20</v>
      </c>
      <c r="H128">
        <v>-620</v>
      </c>
      <c r="I128" t="str">
        <f t="shared" si="12"/>
        <v>Zara</v>
      </c>
      <c r="J128" t="str">
        <f t="shared" si="13"/>
        <v>East</v>
      </c>
      <c r="K128" t="str">
        <f t="shared" si="14"/>
        <v>Charger</v>
      </c>
      <c r="L128">
        <f t="shared" si="15"/>
        <v>25</v>
      </c>
      <c r="M128">
        <f t="shared" si="16"/>
        <v>31</v>
      </c>
      <c r="N128" s="2">
        <f t="shared" si="17"/>
        <v>20</v>
      </c>
      <c r="O128">
        <f t="shared" si="18"/>
        <v>620</v>
      </c>
      <c r="P128" t="str">
        <f t="shared" si="19"/>
        <v>Normal Sale</v>
      </c>
      <c r="Q128" t="str">
        <f t="shared" si="20"/>
        <v>Yes</v>
      </c>
      <c r="R128" t="str" cm="1">
        <f t="array" ref="R128">_xlfn.IFS(L128&gt;=20,"Bulk",L128&gt;=10,"Medium",L128&lt;10,"Low")</f>
        <v>Bulk</v>
      </c>
      <c r="S128" t="str" cm="1">
        <f t="array" ref="S128">_xlfn.IFS(O128&gt;30000,"Premium",30000&lt;O128&gt;10000,"Standard",O128&lt;10000,"Budget")</f>
        <v>Standard</v>
      </c>
    </row>
    <row r="129" spans="1:19" x14ac:dyDescent="0.35">
      <c r="A129" s="1">
        <v>45319</v>
      </c>
      <c r="B129" t="s">
        <v>48</v>
      </c>
      <c r="C129" t="s">
        <v>13</v>
      </c>
      <c r="D129" t="s">
        <v>38</v>
      </c>
      <c r="E129">
        <v>4</v>
      </c>
      <c r="F129">
        <v>24662</v>
      </c>
      <c r="G129">
        <v>10</v>
      </c>
      <c r="H129">
        <v>88783.2</v>
      </c>
      <c r="I129" t="str">
        <f t="shared" si="12"/>
        <v>Zara</v>
      </c>
      <c r="J129" t="str">
        <f t="shared" si="13"/>
        <v>Northeast</v>
      </c>
      <c r="K129" t="str">
        <f t="shared" si="14"/>
        <v>Smartphone</v>
      </c>
      <c r="L129">
        <f t="shared" si="15"/>
        <v>4</v>
      </c>
      <c r="M129">
        <f t="shared" si="16"/>
        <v>24662</v>
      </c>
      <c r="N129" s="2">
        <f t="shared" si="17"/>
        <v>10</v>
      </c>
      <c r="O129">
        <f t="shared" si="18"/>
        <v>88783.2</v>
      </c>
      <c r="P129" t="str">
        <f t="shared" si="19"/>
        <v>High Value</v>
      </c>
      <c r="Q129" t="str">
        <f t="shared" si="20"/>
        <v>Yes</v>
      </c>
      <c r="R129" t="str" cm="1">
        <f t="array" ref="R129">_xlfn.IFS(L129&gt;=20,"Bulk",L129&gt;=10,"Medium",L129&lt;10,"Low")</f>
        <v>Low</v>
      </c>
      <c r="S129" t="str" cm="1">
        <f t="array" ref="S129">_xlfn.IFS(O129&gt;30000,"Premium",30000&lt;O129&gt;10000,"Standard",O129&lt;10000,"Budget")</f>
        <v>Premium</v>
      </c>
    </row>
    <row r="130" spans="1:19" x14ac:dyDescent="0.35">
      <c r="A130" s="1">
        <v>45301</v>
      </c>
      <c r="B130" t="s">
        <v>22</v>
      </c>
      <c r="C130" t="s">
        <v>41</v>
      </c>
      <c r="D130" t="s">
        <v>32</v>
      </c>
      <c r="F130">
        <v>5560</v>
      </c>
      <c r="G130">
        <v>5</v>
      </c>
      <c r="H130">
        <v>137332</v>
      </c>
      <c r="I130" t="str">
        <f t="shared" si="12"/>
        <v>Aarav</v>
      </c>
      <c r="J130" t="str">
        <f t="shared" si="13"/>
        <v>Southeast</v>
      </c>
      <c r="K130" t="str">
        <f t="shared" si="14"/>
        <v>Headphones</v>
      </c>
      <c r="L130">
        <f t="shared" si="15"/>
        <v>0</v>
      </c>
      <c r="M130">
        <f t="shared" si="16"/>
        <v>5560</v>
      </c>
      <c r="N130" s="2">
        <f t="shared" si="17"/>
        <v>5</v>
      </c>
      <c r="O130">
        <f t="shared" si="18"/>
        <v>137332</v>
      </c>
      <c r="P130" t="str">
        <f t="shared" si="19"/>
        <v>High Value</v>
      </c>
      <c r="Q130" t="str">
        <f t="shared" si="20"/>
        <v>Yes</v>
      </c>
      <c r="R130" t="str" cm="1">
        <f t="array" ref="R130">_xlfn.IFS(L130&gt;=20,"Bulk",L130&gt;=10,"Medium",L130&lt;10,"Low")</f>
        <v>Low</v>
      </c>
      <c r="S130" t="str" cm="1">
        <f t="array" ref="S130">_xlfn.IFS(O130&gt;30000,"Premium",30000&lt;O130&gt;10000,"Standard",O130&lt;10000,"Budget")</f>
        <v>Premium</v>
      </c>
    </row>
    <row r="131" spans="1:19" x14ac:dyDescent="0.35">
      <c r="A131" s="1">
        <v>45646</v>
      </c>
      <c r="B131" t="s">
        <v>12</v>
      </c>
      <c r="C131" t="s">
        <v>36</v>
      </c>
      <c r="D131" t="s">
        <v>23</v>
      </c>
      <c r="E131">
        <v>3</v>
      </c>
      <c r="F131">
        <v>47115</v>
      </c>
      <c r="G131">
        <v>20</v>
      </c>
      <c r="H131">
        <v>113076</v>
      </c>
      <c r="I131" t="str">
        <f t="shared" ref="I131:I181" si="21">IF(TRIM(CLEAN(B131))="", "Unknown", TRIM(CLEAN(B131)))</f>
        <v>Saanvi</v>
      </c>
      <c r="J131" t="str">
        <f t="shared" ref="J131:J181" si="22">IF(TRIM(CLEAN(C131))="", "Unknown", TRIM(CLEAN(C131)))</f>
        <v>West</v>
      </c>
      <c r="K131" t="str">
        <f t="shared" ref="K131:K181" si="23">IF(TRIM(D131)="","Unknown",TRIM(D131))</f>
        <v>Laptop</v>
      </c>
      <c r="L131">
        <f t="shared" ref="L131:L181" si="24">IF(E131="", 0, IF(E131&lt;0, ABS(E131), E131))</f>
        <v>3</v>
      </c>
      <c r="M131">
        <f t="shared" ref="M131:M181" si="25">IF(F131="", 0, IF(F131&lt;0, ABS(F131), F131))</f>
        <v>47115</v>
      </c>
      <c r="N131" s="2">
        <f t="shared" ref="N131:N181" si="26">IF(G131="", 0, IF(G131&lt;0, ABS(G131), G131))</f>
        <v>20</v>
      </c>
      <c r="O131">
        <f t="shared" ref="O131:O181" si="27">IF(H131="", 0, IF(H131&lt;0, ABS(H131), H131))</f>
        <v>113076</v>
      </c>
      <c r="P131" t="str">
        <f t="shared" ref="P131:P181" si="28">IF(H131&gt;50000,"High Value","Normal Sale")</f>
        <v>High Value</v>
      </c>
      <c r="Q131" t="str">
        <f t="shared" ref="Q131:Q181" si="29">IF(N131=0,"No","Yes")</f>
        <v>Yes</v>
      </c>
      <c r="R131" t="str" cm="1">
        <f t="array" ref="R131">_xlfn.IFS(L131&gt;=20,"Bulk",L131&gt;=10,"Medium",L131&lt;10,"Low")</f>
        <v>Low</v>
      </c>
      <c r="S131" t="str" cm="1">
        <f t="array" ref="S131">_xlfn.IFS(O131&gt;30000,"Premium",30000&lt;O131&gt;10000,"Standard",O131&lt;10000,"Budget")</f>
        <v>Premium</v>
      </c>
    </row>
    <row r="132" spans="1:19" x14ac:dyDescent="0.35">
      <c r="A132" s="1">
        <v>45599</v>
      </c>
      <c r="B132" t="s">
        <v>46</v>
      </c>
      <c r="C132" t="s">
        <v>36</v>
      </c>
      <c r="D132" t="s">
        <v>17</v>
      </c>
      <c r="E132">
        <v>23</v>
      </c>
      <c r="F132">
        <v>3354</v>
      </c>
      <c r="G132">
        <v>5</v>
      </c>
      <c r="H132">
        <v>73284.899999999994</v>
      </c>
      <c r="I132" t="str">
        <f t="shared" si="21"/>
        <v>Jasmin</v>
      </c>
      <c r="J132" t="str">
        <f t="shared" si="22"/>
        <v>West</v>
      </c>
      <c r="K132" t="str">
        <f t="shared" si="23"/>
        <v>Router</v>
      </c>
      <c r="L132">
        <f t="shared" si="24"/>
        <v>23</v>
      </c>
      <c r="M132">
        <f t="shared" si="25"/>
        <v>3354</v>
      </c>
      <c r="N132" s="2">
        <f t="shared" si="26"/>
        <v>5</v>
      </c>
      <c r="O132">
        <f t="shared" si="27"/>
        <v>73284.899999999994</v>
      </c>
      <c r="P132" t="str">
        <f t="shared" si="28"/>
        <v>High Value</v>
      </c>
      <c r="Q132" t="str">
        <f t="shared" si="29"/>
        <v>Yes</v>
      </c>
      <c r="R132" t="str" cm="1">
        <f t="array" ref="R132">_xlfn.IFS(L132&gt;=20,"Bulk",L132&gt;=10,"Medium",L132&lt;10,"Low")</f>
        <v>Bulk</v>
      </c>
      <c r="S132" t="str" cm="1">
        <f t="array" ref="S132">_xlfn.IFS(O132&gt;30000,"Premium",30000&lt;O132&gt;10000,"Standard",O132&lt;10000,"Budget")</f>
        <v>Premium</v>
      </c>
    </row>
    <row r="133" spans="1:19" x14ac:dyDescent="0.35">
      <c r="A133" s="1">
        <v>45313</v>
      </c>
      <c r="B133" t="s">
        <v>47</v>
      </c>
      <c r="C133" t="s">
        <v>20</v>
      </c>
      <c r="D133" t="s">
        <v>42</v>
      </c>
      <c r="E133">
        <v>6</v>
      </c>
      <c r="F133">
        <v>20049</v>
      </c>
      <c r="G133">
        <v>5</v>
      </c>
      <c r="H133">
        <v>114279.3</v>
      </c>
      <c r="I133" t="str">
        <f t="shared" si="21"/>
        <v>Tanya</v>
      </c>
      <c r="J133" t="str">
        <f t="shared" si="22"/>
        <v>Southwest</v>
      </c>
      <c r="K133" t="str">
        <f t="shared" si="23"/>
        <v>Tablet</v>
      </c>
      <c r="L133">
        <f t="shared" si="24"/>
        <v>6</v>
      </c>
      <c r="M133">
        <f t="shared" si="25"/>
        <v>20049</v>
      </c>
      <c r="N133" s="2">
        <f t="shared" si="26"/>
        <v>5</v>
      </c>
      <c r="O133">
        <f t="shared" si="27"/>
        <v>114279.3</v>
      </c>
      <c r="P133" t="str">
        <f t="shared" si="28"/>
        <v>High Value</v>
      </c>
      <c r="Q133" t="str">
        <f t="shared" si="29"/>
        <v>Yes</v>
      </c>
      <c r="R133" t="str" cm="1">
        <f t="array" ref="R133">_xlfn.IFS(L133&gt;=20,"Bulk",L133&gt;=10,"Medium",L133&lt;10,"Low")</f>
        <v>Low</v>
      </c>
      <c r="S133" t="str" cm="1">
        <f t="array" ref="S133">_xlfn.IFS(O133&gt;30000,"Premium",30000&lt;O133&gt;10000,"Standard",O133&lt;10000,"Budget")</f>
        <v>Premium</v>
      </c>
    </row>
    <row r="134" spans="1:19" x14ac:dyDescent="0.35">
      <c r="A134" s="1">
        <v>45507</v>
      </c>
      <c r="B134" t="s">
        <v>47</v>
      </c>
      <c r="C134" t="s">
        <v>41</v>
      </c>
      <c r="D134" t="s">
        <v>23</v>
      </c>
      <c r="E134">
        <v>29</v>
      </c>
      <c r="F134">
        <v>49918</v>
      </c>
      <c r="G134">
        <v>20</v>
      </c>
      <c r="H134">
        <v>1158097.6000000001</v>
      </c>
      <c r="I134" t="str">
        <f t="shared" si="21"/>
        <v>Tanya</v>
      </c>
      <c r="J134" t="str">
        <f t="shared" si="22"/>
        <v>Southeast</v>
      </c>
      <c r="K134" t="str">
        <f t="shared" si="23"/>
        <v>Laptop</v>
      </c>
      <c r="L134">
        <f t="shared" si="24"/>
        <v>29</v>
      </c>
      <c r="M134">
        <f t="shared" si="25"/>
        <v>49918</v>
      </c>
      <c r="N134" s="2">
        <f t="shared" si="26"/>
        <v>20</v>
      </c>
      <c r="O134">
        <f t="shared" si="27"/>
        <v>1158097.6000000001</v>
      </c>
      <c r="P134" t="str">
        <f t="shared" si="28"/>
        <v>High Value</v>
      </c>
      <c r="Q134" t="str">
        <f t="shared" si="29"/>
        <v>Yes</v>
      </c>
      <c r="R134" t="str" cm="1">
        <f t="array" ref="R134">_xlfn.IFS(L134&gt;=20,"Bulk",L134&gt;=10,"Medium",L134&lt;10,"Low")</f>
        <v>Bulk</v>
      </c>
      <c r="S134" t="str" cm="1">
        <f t="array" ref="S134">_xlfn.IFS(O134&gt;30000,"Premium",30000&lt;O134&gt;10000,"Standard",O134&lt;10000,"Budget")</f>
        <v>Premium</v>
      </c>
    </row>
    <row r="135" spans="1:19" x14ac:dyDescent="0.35">
      <c r="A135" s="1">
        <v>45584</v>
      </c>
      <c r="B135" t="s">
        <v>39</v>
      </c>
      <c r="C135" t="s">
        <v>25</v>
      </c>
      <c r="D135" t="s">
        <v>32</v>
      </c>
      <c r="E135">
        <v>20</v>
      </c>
      <c r="F135">
        <v>3748</v>
      </c>
      <c r="G135">
        <v>0</v>
      </c>
      <c r="H135">
        <v>74960</v>
      </c>
      <c r="I135" t="str">
        <f t="shared" si="21"/>
        <v>Karan</v>
      </c>
      <c r="J135" t="str">
        <f t="shared" si="22"/>
        <v>Northwest</v>
      </c>
      <c r="K135" t="str">
        <f t="shared" si="23"/>
        <v>Headphones</v>
      </c>
      <c r="L135">
        <f t="shared" si="24"/>
        <v>20</v>
      </c>
      <c r="M135">
        <f t="shared" si="25"/>
        <v>3748</v>
      </c>
      <c r="N135" s="2">
        <f t="shared" si="26"/>
        <v>0</v>
      </c>
      <c r="O135">
        <f t="shared" si="27"/>
        <v>74960</v>
      </c>
      <c r="P135" t="str">
        <f t="shared" si="28"/>
        <v>High Value</v>
      </c>
      <c r="Q135" t="str">
        <f t="shared" si="29"/>
        <v>No</v>
      </c>
      <c r="R135" t="str" cm="1">
        <f t="array" ref="R135">_xlfn.IFS(L135&gt;=20,"Bulk",L135&gt;=10,"Medium",L135&lt;10,"Low")</f>
        <v>Bulk</v>
      </c>
      <c r="S135" t="str" cm="1">
        <f t="array" ref="S135">_xlfn.IFS(O135&gt;30000,"Premium",30000&lt;O135&gt;10000,"Standard",O135&lt;10000,"Budget")</f>
        <v>Premium</v>
      </c>
    </row>
    <row r="136" spans="1:19" x14ac:dyDescent="0.35">
      <c r="A136" s="1">
        <v>45310</v>
      </c>
      <c r="B136" t="s">
        <v>10</v>
      </c>
      <c r="C136" t="s">
        <v>40</v>
      </c>
      <c r="D136" t="s">
        <v>53</v>
      </c>
      <c r="E136">
        <v>12</v>
      </c>
      <c r="F136">
        <v>3568</v>
      </c>
      <c r="G136">
        <v>15</v>
      </c>
      <c r="H136">
        <v>36393.599999999999</v>
      </c>
      <c r="I136" t="str">
        <f t="shared" si="21"/>
        <v>Preeti</v>
      </c>
      <c r="J136" t="str">
        <f t="shared" si="22"/>
        <v>Central</v>
      </c>
      <c r="K136" t="str">
        <f t="shared" si="23"/>
        <v>Charger</v>
      </c>
      <c r="L136">
        <f t="shared" si="24"/>
        <v>12</v>
      </c>
      <c r="M136">
        <f t="shared" si="25"/>
        <v>3568</v>
      </c>
      <c r="N136" s="2">
        <f t="shared" si="26"/>
        <v>15</v>
      </c>
      <c r="O136">
        <f t="shared" si="27"/>
        <v>36393.599999999999</v>
      </c>
      <c r="P136" t="str">
        <f t="shared" si="28"/>
        <v>Normal Sale</v>
      </c>
      <c r="Q136" t="str">
        <f t="shared" si="29"/>
        <v>Yes</v>
      </c>
      <c r="R136" t="str" cm="1">
        <f t="array" ref="R136">_xlfn.IFS(L136&gt;=20,"Bulk",L136&gt;=10,"Medium",L136&lt;10,"Low")</f>
        <v>Medium</v>
      </c>
      <c r="S136" t="str" cm="1">
        <f t="array" ref="S136">_xlfn.IFS(O136&gt;30000,"Premium",30000&lt;O136&gt;10000,"Standard",O136&lt;10000,"Budget")</f>
        <v>Premium</v>
      </c>
    </row>
    <row r="137" spans="1:19" x14ac:dyDescent="0.35">
      <c r="A137" s="1">
        <v>45318</v>
      </c>
      <c r="B137" t="s">
        <v>24</v>
      </c>
      <c r="C137" t="s">
        <v>34</v>
      </c>
      <c r="D137" t="s">
        <v>53</v>
      </c>
      <c r="E137">
        <v>5</v>
      </c>
      <c r="F137">
        <v>-1808</v>
      </c>
      <c r="H137">
        <v>-9040</v>
      </c>
      <c r="I137" t="str">
        <f t="shared" si="21"/>
        <v>Sourav</v>
      </c>
      <c r="J137" t="str">
        <f t="shared" si="22"/>
        <v>East</v>
      </c>
      <c r="K137" t="str">
        <f t="shared" si="23"/>
        <v>Charger</v>
      </c>
      <c r="L137">
        <f t="shared" si="24"/>
        <v>5</v>
      </c>
      <c r="M137">
        <f t="shared" si="25"/>
        <v>1808</v>
      </c>
      <c r="N137" s="2">
        <f t="shared" si="26"/>
        <v>0</v>
      </c>
      <c r="O137">
        <f t="shared" si="27"/>
        <v>9040</v>
      </c>
      <c r="P137" t="str">
        <f t="shared" si="28"/>
        <v>Normal Sale</v>
      </c>
      <c r="Q137" t="str">
        <f t="shared" si="29"/>
        <v>No</v>
      </c>
      <c r="R137" t="str" cm="1">
        <f t="array" ref="R137">_xlfn.IFS(L137&gt;=20,"Bulk",L137&gt;=10,"Medium",L137&lt;10,"Low")</f>
        <v>Low</v>
      </c>
      <c r="S137" t="str" cm="1">
        <f t="array" ref="S137">_xlfn.IFS(O137&gt;30000,"Premium",30000&lt;O137&gt;10000,"Standard",O137&lt;10000,"Budget")</f>
        <v>Standard</v>
      </c>
    </row>
    <row r="138" spans="1:19" x14ac:dyDescent="0.35">
      <c r="A138" s="1">
        <v>45631</v>
      </c>
      <c r="B138" t="s">
        <v>48</v>
      </c>
      <c r="C138" t="s">
        <v>36</v>
      </c>
      <c r="D138" t="s">
        <v>32</v>
      </c>
      <c r="E138">
        <v>4</v>
      </c>
      <c r="F138">
        <v>2333</v>
      </c>
      <c r="G138">
        <v>10</v>
      </c>
      <c r="H138">
        <v>8398.7999999999993</v>
      </c>
      <c r="I138" t="str">
        <f t="shared" si="21"/>
        <v>Zara</v>
      </c>
      <c r="J138" t="str">
        <f t="shared" si="22"/>
        <v>West</v>
      </c>
      <c r="K138" t="str">
        <f t="shared" si="23"/>
        <v>Headphones</v>
      </c>
      <c r="L138">
        <f t="shared" si="24"/>
        <v>4</v>
      </c>
      <c r="M138">
        <f t="shared" si="25"/>
        <v>2333</v>
      </c>
      <c r="N138" s="2">
        <f t="shared" si="26"/>
        <v>10</v>
      </c>
      <c r="O138">
        <f t="shared" si="27"/>
        <v>8398.7999999999993</v>
      </c>
      <c r="P138" t="str">
        <f t="shared" si="28"/>
        <v>Normal Sale</v>
      </c>
      <c r="Q138" t="str">
        <f t="shared" si="29"/>
        <v>Yes</v>
      </c>
      <c r="R138" t="str" cm="1">
        <f t="array" ref="R138">_xlfn.IFS(L138&gt;=20,"Bulk",L138&gt;=10,"Medium",L138&lt;10,"Low")</f>
        <v>Low</v>
      </c>
      <c r="S138" t="str" cm="1">
        <f t="array" ref="S138">_xlfn.IFS(O138&gt;30000,"Premium",30000&lt;O138&gt;10000,"Standard",O138&lt;10000,"Budget")</f>
        <v>Standard</v>
      </c>
    </row>
    <row r="139" spans="1:19" x14ac:dyDescent="0.35">
      <c r="A139" s="1">
        <v>45613</v>
      </c>
      <c r="B139" t="s">
        <v>27</v>
      </c>
      <c r="C139" t="s">
        <v>16</v>
      </c>
      <c r="D139" t="s">
        <v>9</v>
      </c>
      <c r="E139">
        <v>16</v>
      </c>
      <c r="F139">
        <v>6560</v>
      </c>
      <c r="G139">
        <v>5</v>
      </c>
      <c r="H139">
        <v>99712</v>
      </c>
      <c r="I139" t="str">
        <f t="shared" si="21"/>
        <v>Lakshmi</v>
      </c>
      <c r="J139" t="str">
        <f t="shared" si="22"/>
        <v>North</v>
      </c>
      <c r="K139" t="str">
        <f t="shared" si="23"/>
        <v>Printer</v>
      </c>
      <c r="L139">
        <f t="shared" si="24"/>
        <v>16</v>
      </c>
      <c r="M139">
        <f t="shared" si="25"/>
        <v>6560</v>
      </c>
      <c r="N139" s="2">
        <f t="shared" si="26"/>
        <v>5</v>
      </c>
      <c r="O139">
        <f t="shared" si="27"/>
        <v>99712</v>
      </c>
      <c r="P139" t="str">
        <f t="shared" si="28"/>
        <v>High Value</v>
      </c>
      <c r="Q139" t="str">
        <f t="shared" si="29"/>
        <v>Yes</v>
      </c>
      <c r="R139" t="str" cm="1">
        <f t="array" ref="R139">_xlfn.IFS(L139&gt;=20,"Bulk",L139&gt;=10,"Medium",L139&lt;10,"Low")</f>
        <v>Medium</v>
      </c>
      <c r="S139" t="str" cm="1">
        <f t="array" ref="S139">_xlfn.IFS(O139&gt;30000,"Premium",30000&lt;O139&gt;10000,"Standard",O139&lt;10000,"Budget")</f>
        <v>Premium</v>
      </c>
    </row>
    <row r="140" spans="1:19" x14ac:dyDescent="0.35">
      <c r="A140" s="1">
        <v>45522</v>
      </c>
      <c r="B140" t="s">
        <v>39</v>
      </c>
      <c r="C140" t="s">
        <v>41</v>
      </c>
      <c r="D140" t="s">
        <v>32</v>
      </c>
      <c r="E140">
        <v>15</v>
      </c>
      <c r="F140">
        <v>4727</v>
      </c>
      <c r="G140">
        <v>10</v>
      </c>
      <c r="H140">
        <v>63814.5</v>
      </c>
      <c r="I140" t="str">
        <f t="shared" si="21"/>
        <v>Karan</v>
      </c>
      <c r="J140" t="str">
        <f t="shared" si="22"/>
        <v>Southeast</v>
      </c>
      <c r="K140" t="str">
        <f t="shared" si="23"/>
        <v>Headphones</v>
      </c>
      <c r="L140">
        <f t="shared" si="24"/>
        <v>15</v>
      </c>
      <c r="M140">
        <f t="shared" si="25"/>
        <v>4727</v>
      </c>
      <c r="N140" s="2">
        <f t="shared" si="26"/>
        <v>10</v>
      </c>
      <c r="O140">
        <f t="shared" si="27"/>
        <v>63814.5</v>
      </c>
      <c r="P140" t="str">
        <f t="shared" si="28"/>
        <v>High Value</v>
      </c>
      <c r="Q140" t="str">
        <f t="shared" si="29"/>
        <v>Yes</v>
      </c>
      <c r="R140" t="str" cm="1">
        <f t="array" ref="R140">_xlfn.IFS(L140&gt;=20,"Bulk",L140&gt;=10,"Medium",L140&lt;10,"Low")</f>
        <v>Medium</v>
      </c>
      <c r="S140" t="str" cm="1">
        <f t="array" ref="S140">_xlfn.IFS(O140&gt;30000,"Premium",30000&lt;O140&gt;10000,"Standard",O140&lt;10000,"Budget")</f>
        <v>Premium</v>
      </c>
    </row>
    <row r="141" spans="1:19" x14ac:dyDescent="0.35">
      <c r="A141" s="1">
        <v>45639</v>
      </c>
      <c r="B141" t="s">
        <v>26</v>
      </c>
      <c r="C141" t="s">
        <v>13</v>
      </c>
      <c r="D141" t="s">
        <v>32</v>
      </c>
      <c r="E141">
        <v>6</v>
      </c>
      <c r="G141">
        <v>0</v>
      </c>
      <c r="H141">
        <v>15810</v>
      </c>
      <c r="I141" t="str">
        <f t="shared" si="21"/>
        <v>Kabir</v>
      </c>
      <c r="J141" t="str">
        <f t="shared" si="22"/>
        <v>Northeast</v>
      </c>
      <c r="K141" t="str">
        <f t="shared" si="23"/>
        <v>Headphones</v>
      </c>
      <c r="L141">
        <f t="shared" si="24"/>
        <v>6</v>
      </c>
      <c r="M141">
        <f t="shared" si="25"/>
        <v>0</v>
      </c>
      <c r="N141" s="2">
        <f t="shared" si="26"/>
        <v>0</v>
      </c>
      <c r="O141">
        <f t="shared" si="27"/>
        <v>15810</v>
      </c>
      <c r="P141" t="str">
        <f t="shared" si="28"/>
        <v>Normal Sale</v>
      </c>
      <c r="Q141" t="str">
        <f t="shared" si="29"/>
        <v>No</v>
      </c>
      <c r="R141" t="str" cm="1">
        <f t="array" ref="R141">_xlfn.IFS(L141&gt;=20,"Bulk",L141&gt;=10,"Medium",L141&lt;10,"Low")</f>
        <v>Low</v>
      </c>
      <c r="S141" t="str" cm="1">
        <f t="array" ref="S141">_xlfn.IFS(O141&gt;30000,"Premium",30000&lt;O141&gt;10000,"Standard",O141&lt;10000,"Budget")</f>
        <v>Standard</v>
      </c>
    </row>
    <row r="142" spans="1:19" x14ac:dyDescent="0.35">
      <c r="A142" s="1">
        <v>45449</v>
      </c>
      <c r="B142" t="s">
        <v>47</v>
      </c>
      <c r="C142" t="s">
        <v>34</v>
      </c>
      <c r="D142" t="s">
        <v>17</v>
      </c>
      <c r="E142">
        <v>11</v>
      </c>
      <c r="F142">
        <v>4473</v>
      </c>
      <c r="G142">
        <v>15</v>
      </c>
      <c r="H142">
        <v>41822.550000000003</v>
      </c>
      <c r="I142" t="str">
        <f t="shared" si="21"/>
        <v>Tanya</v>
      </c>
      <c r="J142" t="str">
        <f t="shared" si="22"/>
        <v>East</v>
      </c>
      <c r="K142" t="str">
        <f t="shared" si="23"/>
        <v>Router</v>
      </c>
      <c r="L142">
        <f t="shared" si="24"/>
        <v>11</v>
      </c>
      <c r="M142">
        <f t="shared" si="25"/>
        <v>4473</v>
      </c>
      <c r="N142" s="2">
        <f t="shared" si="26"/>
        <v>15</v>
      </c>
      <c r="O142">
        <f t="shared" si="27"/>
        <v>41822.550000000003</v>
      </c>
      <c r="P142" t="str">
        <f t="shared" si="28"/>
        <v>Normal Sale</v>
      </c>
      <c r="Q142" t="str">
        <f t="shared" si="29"/>
        <v>Yes</v>
      </c>
      <c r="R142" t="str" cm="1">
        <f t="array" ref="R142">_xlfn.IFS(L142&gt;=20,"Bulk",L142&gt;=10,"Medium",L142&lt;10,"Low")</f>
        <v>Medium</v>
      </c>
      <c r="S142" t="str" cm="1">
        <f t="array" ref="S142">_xlfn.IFS(O142&gt;30000,"Premium",30000&lt;O142&gt;10000,"Standard",O142&lt;10000,"Budget")</f>
        <v>Premium</v>
      </c>
    </row>
    <row r="143" spans="1:19" x14ac:dyDescent="0.35">
      <c r="A143" s="1">
        <v>45527</v>
      </c>
      <c r="B143" t="s">
        <v>27</v>
      </c>
      <c r="C143" t="s">
        <v>16</v>
      </c>
      <c r="D143" t="s">
        <v>21</v>
      </c>
      <c r="E143">
        <v>26</v>
      </c>
      <c r="F143">
        <v>4181</v>
      </c>
      <c r="G143">
        <v>10</v>
      </c>
      <c r="H143">
        <v>97835.4</v>
      </c>
      <c r="I143" t="str">
        <f t="shared" si="21"/>
        <v>Lakshmi</v>
      </c>
      <c r="J143" t="str">
        <f t="shared" si="22"/>
        <v>North</v>
      </c>
      <c r="K143" t="str">
        <f t="shared" si="23"/>
        <v>Webcam</v>
      </c>
      <c r="L143">
        <f t="shared" si="24"/>
        <v>26</v>
      </c>
      <c r="M143">
        <f t="shared" si="25"/>
        <v>4181</v>
      </c>
      <c r="N143" s="2">
        <f t="shared" si="26"/>
        <v>10</v>
      </c>
      <c r="O143">
        <f t="shared" si="27"/>
        <v>97835.4</v>
      </c>
      <c r="P143" t="str">
        <f t="shared" si="28"/>
        <v>High Value</v>
      </c>
      <c r="Q143" t="str">
        <f t="shared" si="29"/>
        <v>Yes</v>
      </c>
      <c r="R143" t="str" cm="1">
        <f t="array" ref="R143">_xlfn.IFS(L143&gt;=20,"Bulk",L143&gt;=10,"Medium",L143&lt;10,"Low")</f>
        <v>Bulk</v>
      </c>
      <c r="S143" t="str" cm="1">
        <f t="array" ref="S143">_xlfn.IFS(O143&gt;30000,"Premium",30000&lt;O143&gt;10000,"Standard",O143&lt;10000,"Budget")</f>
        <v>Premium</v>
      </c>
    </row>
    <row r="144" spans="1:19" x14ac:dyDescent="0.35">
      <c r="A144" s="1">
        <v>45412</v>
      </c>
      <c r="B144" t="s">
        <v>57</v>
      </c>
      <c r="C144" t="s">
        <v>40</v>
      </c>
      <c r="D144" t="s">
        <v>30</v>
      </c>
      <c r="E144">
        <v>22</v>
      </c>
      <c r="F144">
        <v>-562</v>
      </c>
      <c r="G144">
        <v>0</v>
      </c>
      <c r="H144">
        <v>-12364</v>
      </c>
      <c r="I144" t="str">
        <f t="shared" si="21"/>
        <v>Yuvraj</v>
      </c>
      <c r="J144" t="str">
        <f t="shared" si="22"/>
        <v>Central</v>
      </c>
      <c r="K144" t="str">
        <f t="shared" si="23"/>
        <v>Keyboard</v>
      </c>
      <c r="L144">
        <f t="shared" si="24"/>
        <v>22</v>
      </c>
      <c r="M144">
        <f t="shared" si="25"/>
        <v>562</v>
      </c>
      <c r="N144" s="2">
        <f t="shared" si="26"/>
        <v>0</v>
      </c>
      <c r="O144">
        <f t="shared" si="27"/>
        <v>12364</v>
      </c>
      <c r="P144" t="str">
        <f t="shared" si="28"/>
        <v>Normal Sale</v>
      </c>
      <c r="Q144" t="str">
        <f t="shared" si="29"/>
        <v>No</v>
      </c>
      <c r="R144" t="str" cm="1">
        <f t="array" ref="R144">_xlfn.IFS(L144&gt;=20,"Bulk",L144&gt;=10,"Medium",L144&lt;10,"Low")</f>
        <v>Bulk</v>
      </c>
      <c r="S144" t="str" cm="1">
        <f t="array" ref="S144">_xlfn.IFS(O144&gt;30000,"Premium",30000&lt;O144&gt;10000,"Standard",O144&lt;10000,"Budget")</f>
        <v>Standard</v>
      </c>
    </row>
    <row r="145" spans="1:19" x14ac:dyDescent="0.35">
      <c r="A145" s="1">
        <v>45367</v>
      </c>
      <c r="B145" t="s">
        <v>27</v>
      </c>
      <c r="C145" t="s">
        <v>20</v>
      </c>
      <c r="D145" t="s">
        <v>17</v>
      </c>
      <c r="E145">
        <v>29</v>
      </c>
      <c r="F145">
        <v>5188</v>
      </c>
      <c r="G145">
        <v>15</v>
      </c>
      <c r="H145">
        <v>127884.2</v>
      </c>
      <c r="I145" t="str">
        <f t="shared" si="21"/>
        <v>Lakshmi</v>
      </c>
      <c r="J145" t="str">
        <f t="shared" si="22"/>
        <v>Southwest</v>
      </c>
      <c r="K145" t="str">
        <f t="shared" si="23"/>
        <v>Router</v>
      </c>
      <c r="L145">
        <f t="shared" si="24"/>
        <v>29</v>
      </c>
      <c r="M145">
        <f t="shared" si="25"/>
        <v>5188</v>
      </c>
      <c r="N145" s="2">
        <f t="shared" si="26"/>
        <v>15</v>
      </c>
      <c r="O145">
        <f t="shared" si="27"/>
        <v>127884.2</v>
      </c>
      <c r="P145" t="str">
        <f t="shared" si="28"/>
        <v>High Value</v>
      </c>
      <c r="Q145" t="str">
        <f t="shared" si="29"/>
        <v>Yes</v>
      </c>
      <c r="R145" t="str" cm="1">
        <f t="array" ref="R145">_xlfn.IFS(L145&gt;=20,"Bulk",L145&gt;=10,"Medium",L145&lt;10,"Low")</f>
        <v>Bulk</v>
      </c>
      <c r="S145" t="str" cm="1">
        <f t="array" ref="S145">_xlfn.IFS(O145&gt;30000,"Premium",30000&lt;O145&gt;10000,"Standard",O145&lt;10000,"Budget")</f>
        <v>Premium</v>
      </c>
    </row>
    <row r="146" spans="1:19" x14ac:dyDescent="0.35">
      <c r="A146" s="1">
        <v>45611</v>
      </c>
      <c r="B146" t="s">
        <v>55</v>
      </c>
      <c r="C146" t="s">
        <v>40</v>
      </c>
      <c r="D146" t="s">
        <v>53</v>
      </c>
      <c r="E146">
        <v>30</v>
      </c>
      <c r="F146">
        <v>1222</v>
      </c>
      <c r="G146">
        <v>0</v>
      </c>
      <c r="H146">
        <v>36660</v>
      </c>
      <c r="I146" t="str">
        <f t="shared" si="21"/>
        <v>Meera</v>
      </c>
      <c r="J146" t="str">
        <f t="shared" si="22"/>
        <v>Central</v>
      </c>
      <c r="K146" t="str">
        <f t="shared" si="23"/>
        <v>Charger</v>
      </c>
      <c r="L146">
        <f t="shared" si="24"/>
        <v>30</v>
      </c>
      <c r="M146">
        <f t="shared" si="25"/>
        <v>1222</v>
      </c>
      <c r="N146" s="2">
        <f t="shared" si="26"/>
        <v>0</v>
      </c>
      <c r="O146">
        <f t="shared" si="27"/>
        <v>36660</v>
      </c>
      <c r="P146" t="str">
        <f t="shared" si="28"/>
        <v>Normal Sale</v>
      </c>
      <c r="Q146" t="str">
        <f t="shared" si="29"/>
        <v>No</v>
      </c>
      <c r="R146" t="str" cm="1">
        <f t="array" ref="R146">_xlfn.IFS(L146&gt;=20,"Bulk",L146&gt;=10,"Medium",L146&lt;10,"Low")</f>
        <v>Bulk</v>
      </c>
      <c r="S146" t="str" cm="1">
        <f t="array" ref="S146">_xlfn.IFS(O146&gt;30000,"Premium",30000&lt;O146&gt;10000,"Standard",O146&lt;10000,"Budget")</f>
        <v>Premium</v>
      </c>
    </row>
    <row r="147" spans="1:19" x14ac:dyDescent="0.35">
      <c r="A147" s="1">
        <v>45601</v>
      </c>
      <c r="B147" t="s">
        <v>49</v>
      </c>
      <c r="D147" t="s">
        <v>28</v>
      </c>
      <c r="E147">
        <v>23</v>
      </c>
      <c r="F147">
        <v>6236</v>
      </c>
      <c r="G147">
        <v>15</v>
      </c>
      <c r="H147">
        <v>121913.8</v>
      </c>
      <c r="I147" t="str">
        <f t="shared" si="21"/>
        <v>Vivaan</v>
      </c>
      <c r="J147" t="str">
        <f t="shared" si="22"/>
        <v>Unknown</v>
      </c>
      <c r="K147" t="str">
        <f t="shared" si="23"/>
        <v>Speaker</v>
      </c>
      <c r="L147">
        <f t="shared" si="24"/>
        <v>23</v>
      </c>
      <c r="M147">
        <f t="shared" si="25"/>
        <v>6236</v>
      </c>
      <c r="N147" s="2">
        <f t="shared" si="26"/>
        <v>15</v>
      </c>
      <c r="O147">
        <f t="shared" si="27"/>
        <v>121913.8</v>
      </c>
      <c r="P147" t="str">
        <f t="shared" si="28"/>
        <v>High Value</v>
      </c>
      <c r="Q147" t="str">
        <f t="shared" si="29"/>
        <v>Yes</v>
      </c>
      <c r="R147" t="str" cm="1">
        <f t="array" ref="R147">_xlfn.IFS(L147&gt;=20,"Bulk",L147&gt;=10,"Medium",L147&lt;10,"Low")</f>
        <v>Bulk</v>
      </c>
      <c r="S147" t="str" cm="1">
        <f t="array" ref="S147">_xlfn.IFS(O147&gt;30000,"Premium",30000&lt;O147&gt;10000,"Standard",O147&lt;10000,"Budget")</f>
        <v>Premium</v>
      </c>
    </row>
    <row r="148" spans="1:19" x14ac:dyDescent="0.35">
      <c r="A148" s="1">
        <v>45476</v>
      </c>
      <c r="B148" t="s">
        <v>49</v>
      </c>
      <c r="C148" t="s">
        <v>20</v>
      </c>
      <c r="D148" t="s">
        <v>23</v>
      </c>
      <c r="E148">
        <v>24</v>
      </c>
      <c r="F148">
        <v>48181</v>
      </c>
      <c r="G148">
        <v>0</v>
      </c>
      <c r="H148">
        <v>1156344</v>
      </c>
      <c r="I148" t="str">
        <f t="shared" si="21"/>
        <v>Vivaan</v>
      </c>
      <c r="J148" t="str">
        <f t="shared" si="22"/>
        <v>Southwest</v>
      </c>
      <c r="K148" t="str">
        <f t="shared" si="23"/>
        <v>Laptop</v>
      </c>
      <c r="L148">
        <f t="shared" si="24"/>
        <v>24</v>
      </c>
      <c r="M148">
        <f t="shared" si="25"/>
        <v>48181</v>
      </c>
      <c r="N148" s="2">
        <f t="shared" si="26"/>
        <v>0</v>
      </c>
      <c r="O148">
        <f t="shared" si="27"/>
        <v>1156344</v>
      </c>
      <c r="P148" t="str">
        <f t="shared" si="28"/>
        <v>High Value</v>
      </c>
      <c r="Q148" t="str">
        <f t="shared" si="29"/>
        <v>No</v>
      </c>
      <c r="R148" t="str" cm="1">
        <f t="array" ref="R148">_xlfn.IFS(L148&gt;=20,"Bulk",L148&gt;=10,"Medium",L148&lt;10,"Low")</f>
        <v>Bulk</v>
      </c>
      <c r="S148" t="str" cm="1">
        <f t="array" ref="S148">_xlfn.IFS(O148&gt;30000,"Premium",30000&lt;O148&gt;10000,"Standard",O148&lt;10000,"Budget")</f>
        <v>Premium</v>
      </c>
    </row>
    <row r="149" spans="1:19" x14ac:dyDescent="0.35">
      <c r="A149" s="1">
        <v>45601</v>
      </c>
      <c r="B149" t="s">
        <v>50</v>
      </c>
      <c r="C149" t="s">
        <v>13</v>
      </c>
      <c r="D149" t="s">
        <v>23</v>
      </c>
      <c r="E149">
        <v>21</v>
      </c>
      <c r="F149">
        <v>49766</v>
      </c>
      <c r="H149">
        <v>1045086</v>
      </c>
      <c r="I149" t="str">
        <f t="shared" si="21"/>
        <v>Omkar</v>
      </c>
      <c r="J149" t="str">
        <f t="shared" si="22"/>
        <v>Northeast</v>
      </c>
      <c r="K149" t="str">
        <f t="shared" si="23"/>
        <v>Laptop</v>
      </c>
      <c r="L149">
        <f t="shared" si="24"/>
        <v>21</v>
      </c>
      <c r="M149">
        <f t="shared" si="25"/>
        <v>49766</v>
      </c>
      <c r="N149" s="2">
        <f t="shared" si="26"/>
        <v>0</v>
      </c>
      <c r="O149">
        <f t="shared" si="27"/>
        <v>1045086</v>
      </c>
      <c r="P149" t="str">
        <f t="shared" si="28"/>
        <v>High Value</v>
      </c>
      <c r="Q149" t="str">
        <f t="shared" si="29"/>
        <v>No</v>
      </c>
      <c r="R149" t="str" cm="1">
        <f t="array" ref="R149">_xlfn.IFS(L149&gt;=20,"Bulk",L149&gt;=10,"Medium",L149&lt;10,"Low")</f>
        <v>Bulk</v>
      </c>
      <c r="S149" t="str" cm="1">
        <f t="array" ref="S149">_xlfn.IFS(O149&gt;30000,"Premium",30000&lt;O149&gt;10000,"Standard",O149&lt;10000,"Budget")</f>
        <v>Premium</v>
      </c>
    </row>
    <row r="150" spans="1:19" x14ac:dyDescent="0.35">
      <c r="A150" s="1">
        <v>45298</v>
      </c>
      <c r="B150" t="s">
        <v>51</v>
      </c>
      <c r="C150" t="s">
        <v>16</v>
      </c>
      <c r="D150" t="s">
        <v>23</v>
      </c>
      <c r="E150">
        <v>6</v>
      </c>
      <c r="F150">
        <v>49740</v>
      </c>
      <c r="G150">
        <v>10</v>
      </c>
      <c r="H150">
        <v>268596</v>
      </c>
      <c r="I150" t="str">
        <f t="shared" si="21"/>
        <v>Vikram</v>
      </c>
      <c r="J150" t="str">
        <f t="shared" si="22"/>
        <v>North</v>
      </c>
      <c r="K150" t="str">
        <f t="shared" si="23"/>
        <v>Laptop</v>
      </c>
      <c r="L150">
        <f t="shared" si="24"/>
        <v>6</v>
      </c>
      <c r="M150">
        <f t="shared" si="25"/>
        <v>49740</v>
      </c>
      <c r="N150" s="2">
        <f t="shared" si="26"/>
        <v>10</v>
      </c>
      <c r="O150">
        <f t="shared" si="27"/>
        <v>268596</v>
      </c>
      <c r="P150" t="str">
        <f t="shared" si="28"/>
        <v>High Value</v>
      </c>
      <c r="Q150" t="str">
        <f t="shared" si="29"/>
        <v>Yes</v>
      </c>
      <c r="R150" t="str" cm="1">
        <f t="array" ref="R150">_xlfn.IFS(L150&gt;=20,"Bulk",L150&gt;=10,"Medium",L150&lt;10,"Low")</f>
        <v>Low</v>
      </c>
      <c r="S150" t="str" cm="1">
        <f t="array" ref="S150">_xlfn.IFS(O150&gt;30000,"Premium",30000&lt;O150&gt;10000,"Standard",O150&lt;10000,"Budget")</f>
        <v>Premium</v>
      </c>
    </row>
    <row r="151" spans="1:19" x14ac:dyDescent="0.35">
      <c r="A151" s="1">
        <v>45517</v>
      </c>
      <c r="B151" t="s">
        <v>29</v>
      </c>
      <c r="C151" t="s">
        <v>16</v>
      </c>
      <c r="D151" t="s">
        <v>19</v>
      </c>
      <c r="E151">
        <v>8</v>
      </c>
      <c r="F151">
        <v>14644</v>
      </c>
      <c r="G151">
        <v>10</v>
      </c>
      <c r="H151">
        <v>105436.8</v>
      </c>
      <c r="I151" t="str">
        <f t="shared" si="21"/>
        <v>Mihir</v>
      </c>
      <c r="J151" t="str">
        <f t="shared" si="22"/>
        <v>North</v>
      </c>
      <c r="K151" t="str">
        <f t="shared" si="23"/>
        <v>Monitor</v>
      </c>
      <c r="L151">
        <f t="shared" si="24"/>
        <v>8</v>
      </c>
      <c r="M151">
        <f t="shared" si="25"/>
        <v>14644</v>
      </c>
      <c r="N151" s="2">
        <f t="shared" si="26"/>
        <v>10</v>
      </c>
      <c r="O151">
        <f t="shared" si="27"/>
        <v>105436.8</v>
      </c>
      <c r="P151" t="str">
        <f t="shared" si="28"/>
        <v>High Value</v>
      </c>
      <c r="Q151" t="str">
        <f t="shared" si="29"/>
        <v>Yes</v>
      </c>
      <c r="R151" t="str" cm="1">
        <f t="array" ref="R151">_xlfn.IFS(L151&gt;=20,"Bulk",L151&gt;=10,"Medium",L151&lt;10,"Low")</f>
        <v>Low</v>
      </c>
      <c r="S151" t="str" cm="1">
        <f t="array" ref="S151">_xlfn.IFS(O151&gt;30000,"Premium",30000&lt;O151&gt;10000,"Standard",O151&lt;10000,"Budget")</f>
        <v>Premium</v>
      </c>
    </row>
    <row r="152" spans="1:19" x14ac:dyDescent="0.35">
      <c r="A152" s="1">
        <v>45633</v>
      </c>
      <c r="B152" t="s">
        <v>56</v>
      </c>
      <c r="C152" t="s">
        <v>11</v>
      </c>
      <c r="D152" t="s">
        <v>42</v>
      </c>
      <c r="E152">
        <v>19</v>
      </c>
      <c r="F152">
        <v>20849</v>
      </c>
      <c r="G152">
        <v>0</v>
      </c>
      <c r="H152">
        <v>396131</v>
      </c>
      <c r="I152" t="str">
        <f t="shared" si="21"/>
        <v>Ananya</v>
      </c>
      <c r="J152" t="str">
        <f t="shared" si="22"/>
        <v>South</v>
      </c>
      <c r="K152" t="str">
        <f t="shared" si="23"/>
        <v>Tablet</v>
      </c>
      <c r="L152">
        <f t="shared" si="24"/>
        <v>19</v>
      </c>
      <c r="M152">
        <f t="shared" si="25"/>
        <v>20849</v>
      </c>
      <c r="N152" s="2">
        <f t="shared" si="26"/>
        <v>0</v>
      </c>
      <c r="O152">
        <f t="shared" si="27"/>
        <v>396131</v>
      </c>
      <c r="P152" t="str">
        <f t="shared" si="28"/>
        <v>High Value</v>
      </c>
      <c r="Q152" t="str">
        <f t="shared" si="29"/>
        <v>No</v>
      </c>
      <c r="R152" t="str" cm="1">
        <f t="array" ref="R152">_xlfn.IFS(L152&gt;=20,"Bulk",L152&gt;=10,"Medium",L152&lt;10,"Low")</f>
        <v>Medium</v>
      </c>
      <c r="S152" t="str" cm="1">
        <f t="array" ref="S152">_xlfn.IFS(O152&gt;30000,"Premium",30000&lt;O152&gt;10000,"Standard",O152&lt;10000,"Budget")</f>
        <v>Premium</v>
      </c>
    </row>
    <row r="153" spans="1:19" x14ac:dyDescent="0.35">
      <c r="A153" s="1">
        <v>45494</v>
      </c>
      <c r="B153" t="s">
        <v>58</v>
      </c>
      <c r="C153" t="s">
        <v>13</v>
      </c>
      <c r="D153" t="s">
        <v>9</v>
      </c>
      <c r="E153">
        <v>20</v>
      </c>
      <c r="F153">
        <v>5645</v>
      </c>
      <c r="G153">
        <v>15</v>
      </c>
      <c r="H153">
        <v>95965</v>
      </c>
      <c r="I153" t="str">
        <f t="shared" si="21"/>
        <v>Rohan</v>
      </c>
      <c r="J153" t="str">
        <f t="shared" si="22"/>
        <v>Northeast</v>
      </c>
      <c r="K153" t="str">
        <f t="shared" si="23"/>
        <v>Printer</v>
      </c>
      <c r="L153">
        <f t="shared" si="24"/>
        <v>20</v>
      </c>
      <c r="M153">
        <f t="shared" si="25"/>
        <v>5645</v>
      </c>
      <c r="N153" s="2">
        <f t="shared" si="26"/>
        <v>15</v>
      </c>
      <c r="O153">
        <f t="shared" si="27"/>
        <v>95965</v>
      </c>
      <c r="P153" t="str">
        <f t="shared" si="28"/>
        <v>High Value</v>
      </c>
      <c r="Q153" t="str">
        <f t="shared" si="29"/>
        <v>Yes</v>
      </c>
      <c r="R153" t="str" cm="1">
        <f t="array" ref="R153">_xlfn.IFS(L153&gt;=20,"Bulk",L153&gt;=10,"Medium",L153&lt;10,"Low")</f>
        <v>Bulk</v>
      </c>
      <c r="S153" t="str" cm="1">
        <f t="array" ref="S153">_xlfn.IFS(O153&gt;30000,"Premium",30000&lt;O153&gt;10000,"Standard",O153&lt;10000,"Budget")</f>
        <v>Premium</v>
      </c>
    </row>
    <row r="154" spans="1:19" x14ac:dyDescent="0.35">
      <c r="A154" s="1">
        <v>45527</v>
      </c>
      <c r="B154" t="s">
        <v>33</v>
      </c>
      <c r="C154" t="s">
        <v>20</v>
      </c>
      <c r="D154" t="s">
        <v>19</v>
      </c>
      <c r="E154">
        <v>5</v>
      </c>
      <c r="F154">
        <v>11028</v>
      </c>
      <c r="H154">
        <v>55140</v>
      </c>
      <c r="I154" t="str">
        <f t="shared" si="21"/>
        <v>Siddharth</v>
      </c>
      <c r="J154" t="str">
        <f t="shared" si="22"/>
        <v>Southwest</v>
      </c>
      <c r="K154" t="str">
        <f t="shared" si="23"/>
        <v>Monitor</v>
      </c>
      <c r="L154">
        <f t="shared" si="24"/>
        <v>5</v>
      </c>
      <c r="M154">
        <f t="shared" si="25"/>
        <v>11028</v>
      </c>
      <c r="N154" s="2">
        <f t="shared" si="26"/>
        <v>0</v>
      </c>
      <c r="O154">
        <f t="shared" si="27"/>
        <v>55140</v>
      </c>
      <c r="P154" t="str">
        <f t="shared" si="28"/>
        <v>High Value</v>
      </c>
      <c r="Q154" t="str">
        <f t="shared" si="29"/>
        <v>No</v>
      </c>
      <c r="R154" t="str" cm="1">
        <f t="array" ref="R154">_xlfn.IFS(L154&gt;=20,"Bulk",L154&gt;=10,"Medium",L154&lt;10,"Low")</f>
        <v>Low</v>
      </c>
      <c r="S154" t="str" cm="1">
        <f t="array" ref="S154">_xlfn.IFS(O154&gt;30000,"Premium",30000&lt;O154&gt;10000,"Standard",O154&lt;10000,"Budget")</f>
        <v>Premium</v>
      </c>
    </row>
    <row r="155" spans="1:19" x14ac:dyDescent="0.35">
      <c r="A155" s="1">
        <v>45401</v>
      </c>
      <c r="B155" t="s">
        <v>39</v>
      </c>
      <c r="C155" t="s">
        <v>11</v>
      </c>
      <c r="D155" t="s">
        <v>21</v>
      </c>
      <c r="E155">
        <v>28</v>
      </c>
      <c r="F155">
        <v>718</v>
      </c>
      <c r="G155">
        <v>15</v>
      </c>
      <c r="H155">
        <v>17088.400000000001</v>
      </c>
      <c r="I155" t="str">
        <f t="shared" si="21"/>
        <v>Karan</v>
      </c>
      <c r="J155" t="str">
        <f t="shared" si="22"/>
        <v>South</v>
      </c>
      <c r="K155" t="str">
        <f t="shared" si="23"/>
        <v>Webcam</v>
      </c>
      <c r="L155">
        <f t="shared" si="24"/>
        <v>28</v>
      </c>
      <c r="M155">
        <f t="shared" si="25"/>
        <v>718</v>
      </c>
      <c r="N155" s="2">
        <f t="shared" si="26"/>
        <v>15</v>
      </c>
      <c r="O155">
        <f t="shared" si="27"/>
        <v>17088.400000000001</v>
      </c>
      <c r="P155" t="str">
        <f t="shared" si="28"/>
        <v>Normal Sale</v>
      </c>
      <c r="Q155" t="str">
        <f t="shared" si="29"/>
        <v>Yes</v>
      </c>
      <c r="R155" t="str" cm="1">
        <f t="array" ref="R155">_xlfn.IFS(L155&gt;=20,"Bulk",L155&gt;=10,"Medium",L155&lt;10,"Low")</f>
        <v>Bulk</v>
      </c>
      <c r="S155" t="str" cm="1">
        <f t="array" ref="S155">_xlfn.IFS(O155&gt;30000,"Premium",30000&lt;O155&gt;10000,"Standard",O155&lt;10000,"Budget")</f>
        <v>Standard</v>
      </c>
    </row>
    <row r="156" spans="1:19" x14ac:dyDescent="0.35">
      <c r="A156" s="1">
        <v>45493</v>
      </c>
      <c r="C156" t="s">
        <v>34</v>
      </c>
      <c r="D156" t="s">
        <v>19</v>
      </c>
      <c r="E156">
        <v>23</v>
      </c>
      <c r="F156">
        <v>10642</v>
      </c>
      <c r="G156">
        <v>5</v>
      </c>
      <c r="H156">
        <v>232527.7</v>
      </c>
      <c r="I156" t="str">
        <f t="shared" si="21"/>
        <v>Unknown</v>
      </c>
      <c r="J156" t="str">
        <f t="shared" si="22"/>
        <v>East</v>
      </c>
      <c r="K156" t="str">
        <f t="shared" si="23"/>
        <v>Monitor</v>
      </c>
      <c r="L156">
        <f t="shared" si="24"/>
        <v>23</v>
      </c>
      <c r="M156">
        <f t="shared" si="25"/>
        <v>10642</v>
      </c>
      <c r="N156" s="2">
        <f t="shared" si="26"/>
        <v>5</v>
      </c>
      <c r="O156">
        <f t="shared" si="27"/>
        <v>232527.7</v>
      </c>
      <c r="P156" t="str">
        <f t="shared" si="28"/>
        <v>High Value</v>
      </c>
      <c r="Q156" t="str">
        <f t="shared" si="29"/>
        <v>Yes</v>
      </c>
      <c r="R156" t="str" cm="1">
        <f t="array" ref="R156">_xlfn.IFS(L156&gt;=20,"Bulk",L156&gt;=10,"Medium",L156&lt;10,"Low")</f>
        <v>Bulk</v>
      </c>
      <c r="S156" t="str" cm="1">
        <f t="array" ref="S156">_xlfn.IFS(O156&gt;30000,"Premium",30000&lt;O156&gt;10000,"Standard",O156&lt;10000,"Budget")</f>
        <v>Premium</v>
      </c>
    </row>
    <row r="157" spans="1:19" x14ac:dyDescent="0.35">
      <c r="A157" s="1">
        <v>45499</v>
      </c>
      <c r="B157" t="s">
        <v>10</v>
      </c>
      <c r="C157" t="s">
        <v>20</v>
      </c>
      <c r="D157" t="s">
        <v>42</v>
      </c>
      <c r="E157">
        <v>22</v>
      </c>
      <c r="F157">
        <v>22283</v>
      </c>
      <c r="G157">
        <v>10</v>
      </c>
      <c r="H157">
        <v>441203.4</v>
      </c>
      <c r="I157" t="str">
        <f t="shared" si="21"/>
        <v>Preeti</v>
      </c>
      <c r="J157" t="str">
        <f t="shared" si="22"/>
        <v>Southwest</v>
      </c>
      <c r="K157" t="str">
        <f t="shared" si="23"/>
        <v>Tablet</v>
      </c>
      <c r="L157">
        <f t="shared" si="24"/>
        <v>22</v>
      </c>
      <c r="M157">
        <f t="shared" si="25"/>
        <v>22283</v>
      </c>
      <c r="N157" s="2">
        <f t="shared" si="26"/>
        <v>10</v>
      </c>
      <c r="O157">
        <f t="shared" si="27"/>
        <v>441203.4</v>
      </c>
      <c r="P157" t="str">
        <f t="shared" si="28"/>
        <v>High Value</v>
      </c>
      <c r="Q157" t="str">
        <f t="shared" si="29"/>
        <v>Yes</v>
      </c>
      <c r="R157" t="str" cm="1">
        <f t="array" ref="R157">_xlfn.IFS(L157&gt;=20,"Bulk",L157&gt;=10,"Medium",L157&lt;10,"Low")</f>
        <v>Bulk</v>
      </c>
      <c r="S157" t="str" cm="1">
        <f t="array" ref="S157">_xlfn.IFS(O157&gt;30000,"Premium",30000&lt;O157&gt;10000,"Standard",O157&lt;10000,"Budget")</f>
        <v>Premium</v>
      </c>
    </row>
    <row r="158" spans="1:19" x14ac:dyDescent="0.35">
      <c r="A158" s="1">
        <v>45480</v>
      </c>
      <c r="B158" t="s">
        <v>44</v>
      </c>
      <c r="C158" t="s">
        <v>25</v>
      </c>
      <c r="D158" t="s">
        <v>30</v>
      </c>
      <c r="E158">
        <v>16</v>
      </c>
      <c r="F158">
        <v>-307</v>
      </c>
      <c r="G158">
        <v>5</v>
      </c>
      <c r="H158">
        <v>-4666.3999999999996</v>
      </c>
      <c r="I158" t="str">
        <f t="shared" si="21"/>
        <v>Ritika</v>
      </c>
      <c r="J158" t="str">
        <f t="shared" si="22"/>
        <v>Northwest</v>
      </c>
      <c r="K158" t="str">
        <f t="shared" si="23"/>
        <v>Keyboard</v>
      </c>
      <c r="L158">
        <f t="shared" si="24"/>
        <v>16</v>
      </c>
      <c r="M158">
        <f t="shared" si="25"/>
        <v>307</v>
      </c>
      <c r="N158" s="2">
        <f t="shared" si="26"/>
        <v>5</v>
      </c>
      <c r="O158">
        <f t="shared" si="27"/>
        <v>4666.3999999999996</v>
      </c>
      <c r="P158" t="str">
        <f t="shared" si="28"/>
        <v>Normal Sale</v>
      </c>
      <c r="Q158" t="str">
        <f t="shared" si="29"/>
        <v>Yes</v>
      </c>
      <c r="R158" t="str" cm="1">
        <f t="array" ref="R158">_xlfn.IFS(L158&gt;=20,"Bulk",L158&gt;=10,"Medium",L158&lt;10,"Low")</f>
        <v>Medium</v>
      </c>
      <c r="S158" t="str" cm="1">
        <f t="array" ref="S158">_xlfn.IFS(O158&gt;30000,"Premium",30000&lt;O158&gt;10000,"Standard",O158&lt;10000,"Budget")</f>
        <v>Standard</v>
      </c>
    </row>
    <row r="159" spans="1:19" x14ac:dyDescent="0.35">
      <c r="A159" s="1">
        <v>45311</v>
      </c>
      <c r="B159" t="s">
        <v>58</v>
      </c>
      <c r="C159" t="s">
        <v>25</v>
      </c>
      <c r="D159" t="s">
        <v>42</v>
      </c>
      <c r="F159">
        <v>20538</v>
      </c>
      <c r="G159">
        <v>10</v>
      </c>
      <c r="H159">
        <v>443620.8</v>
      </c>
      <c r="I159" t="str">
        <f t="shared" si="21"/>
        <v>Rohan</v>
      </c>
      <c r="J159" t="str">
        <f t="shared" si="22"/>
        <v>Northwest</v>
      </c>
      <c r="K159" t="str">
        <f t="shared" si="23"/>
        <v>Tablet</v>
      </c>
      <c r="L159">
        <f t="shared" si="24"/>
        <v>0</v>
      </c>
      <c r="M159">
        <f t="shared" si="25"/>
        <v>20538</v>
      </c>
      <c r="N159" s="2">
        <f t="shared" si="26"/>
        <v>10</v>
      </c>
      <c r="O159">
        <f t="shared" si="27"/>
        <v>443620.8</v>
      </c>
      <c r="P159" t="str">
        <f t="shared" si="28"/>
        <v>High Value</v>
      </c>
      <c r="Q159" t="str">
        <f t="shared" si="29"/>
        <v>Yes</v>
      </c>
      <c r="R159" t="str" cm="1">
        <f t="array" ref="R159">_xlfn.IFS(L159&gt;=20,"Bulk",L159&gt;=10,"Medium",L159&lt;10,"Low")</f>
        <v>Low</v>
      </c>
      <c r="S159" t="str" cm="1">
        <f t="array" ref="S159">_xlfn.IFS(O159&gt;30000,"Premium",30000&lt;O159&gt;10000,"Standard",O159&lt;10000,"Budget")</f>
        <v>Premium</v>
      </c>
    </row>
    <row r="160" spans="1:19" x14ac:dyDescent="0.35">
      <c r="A160" s="1">
        <v>45644</v>
      </c>
      <c r="B160" t="s">
        <v>10</v>
      </c>
      <c r="C160" t="s">
        <v>40</v>
      </c>
      <c r="D160" t="s">
        <v>23</v>
      </c>
      <c r="E160">
        <v>29</v>
      </c>
      <c r="F160">
        <v>52564</v>
      </c>
      <c r="G160">
        <v>20</v>
      </c>
      <c r="H160">
        <v>1219484.8</v>
      </c>
      <c r="I160" t="str">
        <f t="shared" si="21"/>
        <v>Preeti</v>
      </c>
      <c r="J160" t="str">
        <f t="shared" si="22"/>
        <v>Central</v>
      </c>
      <c r="K160" t="str">
        <f t="shared" si="23"/>
        <v>Laptop</v>
      </c>
      <c r="L160">
        <f t="shared" si="24"/>
        <v>29</v>
      </c>
      <c r="M160">
        <f t="shared" si="25"/>
        <v>52564</v>
      </c>
      <c r="N160" s="2">
        <f t="shared" si="26"/>
        <v>20</v>
      </c>
      <c r="O160">
        <f t="shared" si="27"/>
        <v>1219484.8</v>
      </c>
      <c r="P160" t="str">
        <f t="shared" si="28"/>
        <v>High Value</v>
      </c>
      <c r="Q160" t="str">
        <f t="shared" si="29"/>
        <v>Yes</v>
      </c>
      <c r="R160" t="str" cm="1">
        <f t="array" ref="R160">_xlfn.IFS(L160&gt;=20,"Bulk",L160&gt;=10,"Medium",L160&lt;10,"Low")</f>
        <v>Bulk</v>
      </c>
      <c r="S160" t="str" cm="1">
        <f t="array" ref="S160">_xlfn.IFS(O160&gt;30000,"Premium",30000&lt;O160&gt;10000,"Standard",O160&lt;10000,"Budget")</f>
        <v>Premium</v>
      </c>
    </row>
    <row r="161" spans="1:19" x14ac:dyDescent="0.35">
      <c r="A161" s="1">
        <v>45383</v>
      </c>
      <c r="B161" t="s">
        <v>47</v>
      </c>
      <c r="C161" t="s">
        <v>40</v>
      </c>
      <c r="D161" t="s">
        <v>30</v>
      </c>
      <c r="E161">
        <v>23</v>
      </c>
      <c r="F161">
        <v>-902</v>
      </c>
      <c r="G161">
        <v>20</v>
      </c>
      <c r="H161">
        <v>-16596.8</v>
      </c>
      <c r="I161" t="str">
        <f t="shared" si="21"/>
        <v>Tanya</v>
      </c>
      <c r="J161" t="str">
        <f t="shared" si="22"/>
        <v>Central</v>
      </c>
      <c r="K161" t="str">
        <f t="shared" si="23"/>
        <v>Keyboard</v>
      </c>
      <c r="L161">
        <f t="shared" si="24"/>
        <v>23</v>
      </c>
      <c r="M161">
        <f t="shared" si="25"/>
        <v>902</v>
      </c>
      <c r="N161" s="2">
        <f t="shared" si="26"/>
        <v>20</v>
      </c>
      <c r="O161">
        <f t="shared" si="27"/>
        <v>16596.8</v>
      </c>
      <c r="P161" t="str">
        <f t="shared" si="28"/>
        <v>Normal Sale</v>
      </c>
      <c r="Q161" t="str">
        <f t="shared" si="29"/>
        <v>Yes</v>
      </c>
      <c r="R161" t="str" cm="1">
        <f t="array" ref="R161">_xlfn.IFS(L161&gt;=20,"Bulk",L161&gt;=10,"Medium",L161&lt;10,"Low")</f>
        <v>Bulk</v>
      </c>
      <c r="S161" t="str" cm="1">
        <f t="array" ref="S161">_xlfn.IFS(O161&gt;30000,"Premium",30000&lt;O161&gt;10000,"Standard",O161&lt;10000,"Budget")</f>
        <v>Standard</v>
      </c>
    </row>
    <row r="162" spans="1:19" x14ac:dyDescent="0.35">
      <c r="A162" s="1">
        <v>45321</v>
      </c>
      <c r="B162" t="s">
        <v>43</v>
      </c>
      <c r="C162" t="s">
        <v>11</v>
      </c>
      <c r="D162" t="s">
        <v>23</v>
      </c>
      <c r="E162">
        <v>2</v>
      </c>
      <c r="F162">
        <v>49988</v>
      </c>
      <c r="G162">
        <v>10</v>
      </c>
      <c r="H162">
        <v>89978.4</v>
      </c>
      <c r="I162" t="str">
        <f t="shared" si="21"/>
        <v>Nisha</v>
      </c>
      <c r="J162" t="str">
        <f t="shared" si="22"/>
        <v>South</v>
      </c>
      <c r="K162" t="str">
        <f t="shared" si="23"/>
        <v>Laptop</v>
      </c>
      <c r="L162">
        <f t="shared" si="24"/>
        <v>2</v>
      </c>
      <c r="M162">
        <f t="shared" si="25"/>
        <v>49988</v>
      </c>
      <c r="N162" s="2">
        <f t="shared" si="26"/>
        <v>10</v>
      </c>
      <c r="O162">
        <f t="shared" si="27"/>
        <v>89978.4</v>
      </c>
      <c r="P162" t="str">
        <f t="shared" si="28"/>
        <v>High Value</v>
      </c>
      <c r="Q162" t="str">
        <f t="shared" si="29"/>
        <v>Yes</v>
      </c>
      <c r="R162" t="str" cm="1">
        <f t="array" ref="R162">_xlfn.IFS(L162&gt;=20,"Bulk",L162&gt;=10,"Medium",L162&lt;10,"Low")</f>
        <v>Low</v>
      </c>
      <c r="S162" t="str" cm="1">
        <f t="array" ref="S162">_xlfn.IFS(O162&gt;30000,"Premium",30000&lt;O162&gt;10000,"Standard",O162&lt;10000,"Budget")</f>
        <v>Premium</v>
      </c>
    </row>
    <row r="163" spans="1:19" x14ac:dyDescent="0.35">
      <c r="A163" s="1">
        <v>45558</v>
      </c>
      <c r="B163" t="s">
        <v>35</v>
      </c>
      <c r="C163" t="s">
        <v>13</v>
      </c>
      <c r="D163" t="s">
        <v>21</v>
      </c>
      <c r="E163">
        <v>23</v>
      </c>
      <c r="F163">
        <v>3376</v>
      </c>
      <c r="H163">
        <v>77648</v>
      </c>
      <c r="I163" t="str">
        <f t="shared" si="21"/>
        <v>Aisha</v>
      </c>
      <c r="J163" t="str">
        <f t="shared" si="22"/>
        <v>Northeast</v>
      </c>
      <c r="K163" t="str">
        <f t="shared" si="23"/>
        <v>Webcam</v>
      </c>
      <c r="L163">
        <f t="shared" si="24"/>
        <v>23</v>
      </c>
      <c r="M163">
        <f t="shared" si="25"/>
        <v>3376</v>
      </c>
      <c r="N163" s="2">
        <f t="shared" si="26"/>
        <v>0</v>
      </c>
      <c r="O163">
        <f t="shared" si="27"/>
        <v>77648</v>
      </c>
      <c r="P163" t="str">
        <f t="shared" si="28"/>
        <v>High Value</v>
      </c>
      <c r="Q163" t="str">
        <f t="shared" si="29"/>
        <v>No</v>
      </c>
      <c r="R163" t="str" cm="1">
        <f t="array" ref="R163">_xlfn.IFS(L163&gt;=20,"Bulk",L163&gt;=10,"Medium",L163&lt;10,"Low")</f>
        <v>Bulk</v>
      </c>
      <c r="S163" t="str" cm="1">
        <f t="array" ref="S163">_xlfn.IFS(O163&gt;30000,"Premium",30000&lt;O163&gt;10000,"Standard",O163&lt;10000,"Budget")</f>
        <v>Premium</v>
      </c>
    </row>
    <row r="164" spans="1:19" x14ac:dyDescent="0.35">
      <c r="A164" s="1">
        <v>45467</v>
      </c>
      <c r="B164" t="s">
        <v>8</v>
      </c>
      <c r="C164" t="s">
        <v>16</v>
      </c>
      <c r="D164" t="s">
        <v>32</v>
      </c>
      <c r="E164">
        <v>9</v>
      </c>
      <c r="F164">
        <v>4197</v>
      </c>
      <c r="G164">
        <v>15</v>
      </c>
      <c r="H164">
        <v>32107.05</v>
      </c>
      <c r="I164" t="str">
        <f t="shared" si="21"/>
        <v>Neha</v>
      </c>
      <c r="J164" t="str">
        <f t="shared" si="22"/>
        <v>North</v>
      </c>
      <c r="K164" t="str">
        <f t="shared" si="23"/>
        <v>Headphones</v>
      </c>
      <c r="L164">
        <f t="shared" si="24"/>
        <v>9</v>
      </c>
      <c r="M164">
        <f t="shared" si="25"/>
        <v>4197</v>
      </c>
      <c r="N164" s="2">
        <f t="shared" si="26"/>
        <v>15</v>
      </c>
      <c r="O164">
        <f t="shared" si="27"/>
        <v>32107.05</v>
      </c>
      <c r="P164" t="str">
        <f t="shared" si="28"/>
        <v>Normal Sale</v>
      </c>
      <c r="Q164" t="str">
        <f t="shared" si="29"/>
        <v>Yes</v>
      </c>
      <c r="R164" t="str" cm="1">
        <f t="array" ref="R164">_xlfn.IFS(L164&gt;=20,"Bulk",L164&gt;=10,"Medium",L164&lt;10,"Low")</f>
        <v>Low</v>
      </c>
      <c r="S164" t="str" cm="1">
        <f t="array" ref="S164">_xlfn.IFS(O164&gt;30000,"Premium",30000&lt;O164&gt;10000,"Standard",O164&lt;10000,"Budget")</f>
        <v>Premium</v>
      </c>
    </row>
    <row r="165" spans="1:19" x14ac:dyDescent="0.35">
      <c r="A165" s="1">
        <v>45507</v>
      </c>
      <c r="B165" t="s">
        <v>31</v>
      </c>
      <c r="C165" t="s">
        <v>40</v>
      </c>
      <c r="D165" t="s">
        <v>53</v>
      </c>
      <c r="E165">
        <v>25</v>
      </c>
      <c r="F165">
        <v>-18</v>
      </c>
      <c r="G165">
        <v>20</v>
      </c>
      <c r="H165">
        <v>-360</v>
      </c>
      <c r="I165" t="str">
        <f t="shared" si="21"/>
        <v>Rhea</v>
      </c>
      <c r="J165" t="str">
        <f t="shared" si="22"/>
        <v>Central</v>
      </c>
      <c r="K165" t="str">
        <f t="shared" si="23"/>
        <v>Charger</v>
      </c>
      <c r="L165">
        <f t="shared" si="24"/>
        <v>25</v>
      </c>
      <c r="M165">
        <f t="shared" si="25"/>
        <v>18</v>
      </c>
      <c r="N165" s="2">
        <f t="shared" si="26"/>
        <v>20</v>
      </c>
      <c r="O165">
        <f t="shared" si="27"/>
        <v>360</v>
      </c>
      <c r="P165" t="str">
        <f t="shared" si="28"/>
        <v>Normal Sale</v>
      </c>
      <c r="Q165" t="str">
        <f t="shared" si="29"/>
        <v>Yes</v>
      </c>
      <c r="R165" t="str" cm="1">
        <f t="array" ref="R165">_xlfn.IFS(L165&gt;=20,"Bulk",L165&gt;=10,"Medium",L165&lt;10,"Low")</f>
        <v>Bulk</v>
      </c>
      <c r="S165" t="str" cm="1">
        <f t="array" ref="S165">_xlfn.IFS(O165&gt;30000,"Premium",30000&lt;O165&gt;10000,"Standard",O165&lt;10000,"Budget")</f>
        <v>Standard</v>
      </c>
    </row>
    <row r="166" spans="1:19" x14ac:dyDescent="0.35">
      <c r="A166" s="1">
        <v>45473</v>
      </c>
      <c r="B166" t="s">
        <v>26</v>
      </c>
      <c r="D166" t="s">
        <v>28</v>
      </c>
      <c r="E166">
        <v>20</v>
      </c>
      <c r="F166">
        <v>2940</v>
      </c>
      <c r="H166">
        <v>58800</v>
      </c>
      <c r="I166" t="str">
        <f t="shared" si="21"/>
        <v>Kabir</v>
      </c>
      <c r="J166" t="str">
        <f t="shared" si="22"/>
        <v>Unknown</v>
      </c>
      <c r="K166" t="str">
        <f t="shared" si="23"/>
        <v>Speaker</v>
      </c>
      <c r="L166">
        <f t="shared" si="24"/>
        <v>20</v>
      </c>
      <c r="M166">
        <f t="shared" si="25"/>
        <v>2940</v>
      </c>
      <c r="N166" s="2">
        <f t="shared" si="26"/>
        <v>0</v>
      </c>
      <c r="O166">
        <f t="shared" si="27"/>
        <v>58800</v>
      </c>
      <c r="P166" t="str">
        <f t="shared" si="28"/>
        <v>High Value</v>
      </c>
      <c r="Q166" t="str">
        <f t="shared" si="29"/>
        <v>No</v>
      </c>
      <c r="R166" t="str" cm="1">
        <f t="array" ref="R166">_xlfn.IFS(L166&gt;=20,"Bulk",L166&gt;=10,"Medium",L166&lt;10,"Low")</f>
        <v>Bulk</v>
      </c>
      <c r="S166" t="str" cm="1">
        <f t="array" ref="S166">_xlfn.IFS(O166&gt;30000,"Premium",30000&lt;O166&gt;10000,"Standard",O166&lt;10000,"Budget")</f>
        <v>Premium</v>
      </c>
    </row>
    <row r="167" spans="1:19" x14ac:dyDescent="0.35">
      <c r="A167" s="1">
        <v>45300</v>
      </c>
      <c r="B167" t="s">
        <v>37</v>
      </c>
      <c r="C167" t="s">
        <v>41</v>
      </c>
      <c r="D167" t="s">
        <v>9</v>
      </c>
      <c r="E167">
        <v>23</v>
      </c>
      <c r="F167">
        <v>8589</v>
      </c>
      <c r="G167">
        <v>5</v>
      </c>
      <c r="H167">
        <v>187669.65</v>
      </c>
      <c r="I167" t="str">
        <f t="shared" si="21"/>
        <v>Ishita</v>
      </c>
      <c r="J167" t="str">
        <f t="shared" si="22"/>
        <v>Southeast</v>
      </c>
      <c r="K167" t="str">
        <f t="shared" si="23"/>
        <v>Printer</v>
      </c>
      <c r="L167">
        <f t="shared" si="24"/>
        <v>23</v>
      </c>
      <c r="M167">
        <f t="shared" si="25"/>
        <v>8589</v>
      </c>
      <c r="N167" s="2">
        <f t="shared" si="26"/>
        <v>5</v>
      </c>
      <c r="O167">
        <f t="shared" si="27"/>
        <v>187669.65</v>
      </c>
      <c r="P167" t="str">
        <f t="shared" si="28"/>
        <v>High Value</v>
      </c>
      <c r="Q167" t="str">
        <f t="shared" si="29"/>
        <v>Yes</v>
      </c>
      <c r="R167" t="str" cm="1">
        <f t="array" ref="R167">_xlfn.IFS(L167&gt;=20,"Bulk",L167&gt;=10,"Medium",L167&lt;10,"Low")</f>
        <v>Bulk</v>
      </c>
      <c r="S167" t="str" cm="1">
        <f t="array" ref="S167">_xlfn.IFS(O167&gt;30000,"Premium",30000&lt;O167&gt;10000,"Standard",O167&lt;10000,"Budget")</f>
        <v>Premium</v>
      </c>
    </row>
    <row r="168" spans="1:19" x14ac:dyDescent="0.35">
      <c r="A168" s="1">
        <v>45558</v>
      </c>
      <c r="B168" t="s">
        <v>58</v>
      </c>
      <c r="C168" t="s">
        <v>40</v>
      </c>
      <c r="D168" t="s">
        <v>53</v>
      </c>
      <c r="E168">
        <v>2</v>
      </c>
      <c r="F168">
        <v>916</v>
      </c>
      <c r="H168">
        <v>1832</v>
      </c>
      <c r="I168" t="str">
        <f t="shared" si="21"/>
        <v>Rohan</v>
      </c>
      <c r="J168" t="str">
        <f t="shared" si="22"/>
        <v>Central</v>
      </c>
      <c r="K168" t="str">
        <f t="shared" si="23"/>
        <v>Charger</v>
      </c>
      <c r="L168">
        <f t="shared" si="24"/>
        <v>2</v>
      </c>
      <c r="M168">
        <f t="shared" si="25"/>
        <v>916</v>
      </c>
      <c r="N168" s="2">
        <f t="shared" si="26"/>
        <v>0</v>
      </c>
      <c r="O168">
        <f t="shared" si="27"/>
        <v>1832</v>
      </c>
      <c r="P168" t="str">
        <f t="shared" si="28"/>
        <v>Normal Sale</v>
      </c>
      <c r="Q168" t="str">
        <f t="shared" si="29"/>
        <v>No</v>
      </c>
      <c r="R168" t="str" cm="1">
        <f t="array" ref="R168">_xlfn.IFS(L168&gt;=20,"Bulk",L168&gt;=10,"Medium",L168&lt;10,"Low")</f>
        <v>Low</v>
      </c>
      <c r="S168" t="str" cm="1">
        <f t="array" ref="S168">_xlfn.IFS(O168&gt;30000,"Premium",30000&lt;O168&gt;10000,"Standard",O168&lt;10000,"Budget")</f>
        <v>Standard</v>
      </c>
    </row>
    <row r="169" spans="1:19" x14ac:dyDescent="0.35">
      <c r="A169" s="1">
        <v>45443</v>
      </c>
      <c r="B169" t="s">
        <v>33</v>
      </c>
      <c r="C169" t="s">
        <v>11</v>
      </c>
      <c r="D169" t="s">
        <v>30</v>
      </c>
      <c r="E169">
        <v>25</v>
      </c>
      <c r="F169">
        <v>3489</v>
      </c>
      <c r="G169">
        <v>10</v>
      </c>
      <c r="H169">
        <v>78502.5</v>
      </c>
      <c r="I169" t="str">
        <f t="shared" si="21"/>
        <v>Siddharth</v>
      </c>
      <c r="J169" t="str">
        <f t="shared" si="22"/>
        <v>South</v>
      </c>
      <c r="K169" t="str">
        <f t="shared" si="23"/>
        <v>Keyboard</v>
      </c>
      <c r="L169">
        <f t="shared" si="24"/>
        <v>25</v>
      </c>
      <c r="M169">
        <f t="shared" si="25"/>
        <v>3489</v>
      </c>
      <c r="N169" s="2">
        <f t="shared" si="26"/>
        <v>10</v>
      </c>
      <c r="O169">
        <f t="shared" si="27"/>
        <v>78502.5</v>
      </c>
      <c r="P169" t="str">
        <f t="shared" si="28"/>
        <v>High Value</v>
      </c>
      <c r="Q169" t="str">
        <f t="shared" si="29"/>
        <v>Yes</v>
      </c>
      <c r="R169" t="str" cm="1">
        <f t="array" ref="R169">_xlfn.IFS(L169&gt;=20,"Bulk",L169&gt;=10,"Medium",L169&lt;10,"Low")</f>
        <v>Bulk</v>
      </c>
      <c r="S169" t="str" cm="1">
        <f t="array" ref="S169">_xlfn.IFS(O169&gt;30000,"Premium",30000&lt;O169&gt;10000,"Standard",O169&lt;10000,"Budget")</f>
        <v>Premium</v>
      </c>
    </row>
    <row r="170" spans="1:19" x14ac:dyDescent="0.35">
      <c r="A170" s="1">
        <v>45619</v>
      </c>
      <c r="C170" t="s">
        <v>25</v>
      </c>
      <c r="D170" t="s">
        <v>23</v>
      </c>
      <c r="E170">
        <v>7</v>
      </c>
      <c r="F170">
        <v>50161</v>
      </c>
      <c r="G170">
        <v>0</v>
      </c>
      <c r="H170">
        <v>351127</v>
      </c>
      <c r="I170" t="str">
        <f t="shared" si="21"/>
        <v>Unknown</v>
      </c>
      <c r="J170" t="str">
        <f t="shared" si="22"/>
        <v>Northwest</v>
      </c>
      <c r="K170" t="str">
        <f t="shared" si="23"/>
        <v>Laptop</v>
      </c>
      <c r="L170">
        <f t="shared" si="24"/>
        <v>7</v>
      </c>
      <c r="M170">
        <f t="shared" si="25"/>
        <v>50161</v>
      </c>
      <c r="N170" s="2">
        <f t="shared" si="26"/>
        <v>0</v>
      </c>
      <c r="O170">
        <f t="shared" si="27"/>
        <v>351127</v>
      </c>
      <c r="P170" t="str">
        <f t="shared" si="28"/>
        <v>High Value</v>
      </c>
      <c r="Q170" t="str">
        <f t="shared" si="29"/>
        <v>No</v>
      </c>
      <c r="R170" t="str" cm="1">
        <f t="array" ref="R170">_xlfn.IFS(L170&gt;=20,"Bulk",L170&gt;=10,"Medium",L170&lt;10,"Low")</f>
        <v>Low</v>
      </c>
      <c r="S170" t="str" cm="1">
        <f t="array" ref="S170">_xlfn.IFS(O170&gt;30000,"Premium",30000&lt;O170&gt;10000,"Standard",O170&lt;10000,"Budget")</f>
        <v>Premium</v>
      </c>
    </row>
    <row r="171" spans="1:19" x14ac:dyDescent="0.35">
      <c r="A171" s="1">
        <v>45365</v>
      </c>
      <c r="B171" t="s">
        <v>12</v>
      </c>
      <c r="C171" t="s">
        <v>40</v>
      </c>
      <c r="D171" t="s">
        <v>14</v>
      </c>
      <c r="E171">
        <v>29</v>
      </c>
      <c r="F171">
        <v>3619</v>
      </c>
      <c r="H171">
        <v>104951</v>
      </c>
      <c r="I171" t="str">
        <f t="shared" si="21"/>
        <v>Saanvi</v>
      </c>
      <c r="J171" t="str">
        <f t="shared" si="22"/>
        <v>Central</v>
      </c>
      <c r="K171" t="str">
        <f t="shared" si="23"/>
        <v>Mouse</v>
      </c>
      <c r="L171">
        <f t="shared" si="24"/>
        <v>29</v>
      </c>
      <c r="M171">
        <f t="shared" si="25"/>
        <v>3619</v>
      </c>
      <c r="N171" s="2">
        <f t="shared" si="26"/>
        <v>0</v>
      </c>
      <c r="O171">
        <f t="shared" si="27"/>
        <v>104951</v>
      </c>
      <c r="P171" t="str">
        <f t="shared" si="28"/>
        <v>High Value</v>
      </c>
      <c r="Q171" t="str">
        <f t="shared" si="29"/>
        <v>No</v>
      </c>
      <c r="R171" t="str" cm="1">
        <f t="array" ref="R171">_xlfn.IFS(L171&gt;=20,"Bulk",L171&gt;=10,"Medium",L171&lt;10,"Low")</f>
        <v>Bulk</v>
      </c>
      <c r="S171" t="str" cm="1">
        <f t="array" ref="S171">_xlfn.IFS(O171&gt;30000,"Premium",30000&lt;O171&gt;10000,"Standard",O171&lt;10000,"Budget")</f>
        <v>Premium</v>
      </c>
    </row>
    <row r="172" spans="1:19" x14ac:dyDescent="0.35">
      <c r="A172" s="1">
        <v>45368</v>
      </c>
      <c r="B172" t="s">
        <v>43</v>
      </c>
      <c r="C172" t="s">
        <v>36</v>
      </c>
      <c r="D172" t="s">
        <v>32</v>
      </c>
      <c r="E172">
        <v>23</v>
      </c>
      <c r="F172">
        <v>5533</v>
      </c>
      <c r="G172">
        <v>20</v>
      </c>
      <c r="H172">
        <v>101807.2</v>
      </c>
      <c r="I172" t="str">
        <f t="shared" si="21"/>
        <v>Nisha</v>
      </c>
      <c r="J172" t="str">
        <f t="shared" si="22"/>
        <v>West</v>
      </c>
      <c r="K172" t="str">
        <f t="shared" si="23"/>
        <v>Headphones</v>
      </c>
      <c r="L172">
        <f t="shared" si="24"/>
        <v>23</v>
      </c>
      <c r="M172">
        <f t="shared" si="25"/>
        <v>5533</v>
      </c>
      <c r="N172" s="2">
        <f t="shared" si="26"/>
        <v>20</v>
      </c>
      <c r="O172">
        <f t="shared" si="27"/>
        <v>101807.2</v>
      </c>
      <c r="P172" t="str">
        <f t="shared" si="28"/>
        <v>High Value</v>
      </c>
      <c r="Q172" t="str">
        <f t="shared" si="29"/>
        <v>Yes</v>
      </c>
      <c r="R172" t="str" cm="1">
        <f t="array" ref="R172">_xlfn.IFS(L172&gt;=20,"Bulk",L172&gt;=10,"Medium",L172&lt;10,"Low")</f>
        <v>Bulk</v>
      </c>
      <c r="S172" t="str" cm="1">
        <f t="array" ref="S172">_xlfn.IFS(O172&gt;30000,"Premium",30000&lt;O172&gt;10000,"Standard",O172&lt;10000,"Budget")</f>
        <v>Premium</v>
      </c>
    </row>
    <row r="173" spans="1:19" x14ac:dyDescent="0.35">
      <c r="A173" s="1">
        <v>45467</v>
      </c>
      <c r="B173" t="s">
        <v>29</v>
      </c>
      <c r="C173" t="s">
        <v>34</v>
      </c>
      <c r="D173" t="s">
        <v>23</v>
      </c>
      <c r="E173">
        <v>20</v>
      </c>
      <c r="F173">
        <v>50838</v>
      </c>
      <c r="G173">
        <v>10</v>
      </c>
      <c r="H173">
        <v>915084</v>
      </c>
      <c r="I173" t="str">
        <f t="shared" si="21"/>
        <v>Mihir</v>
      </c>
      <c r="J173" t="str">
        <f t="shared" si="22"/>
        <v>East</v>
      </c>
      <c r="K173" t="str">
        <f t="shared" si="23"/>
        <v>Laptop</v>
      </c>
      <c r="L173">
        <f t="shared" si="24"/>
        <v>20</v>
      </c>
      <c r="M173">
        <f t="shared" si="25"/>
        <v>50838</v>
      </c>
      <c r="N173" s="2">
        <f t="shared" si="26"/>
        <v>10</v>
      </c>
      <c r="O173">
        <f t="shared" si="27"/>
        <v>915084</v>
      </c>
      <c r="P173" t="str">
        <f t="shared" si="28"/>
        <v>High Value</v>
      </c>
      <c r="Q173" t="str">
        <f t="shared" si="29"/>
        <v>Yes</v>
      </c>
      <c r="R173" t="str" cm="1">
        <f t="array" ref="R173">_xlfn.IFS(L173&gt;=20,"Bulk",L173&gt;=10,"Medium",L173&lt;10,"Low")</f>
        <v>Bulk</v>
      </c>
      <c r="S173" t="str" cm="1">
        <f t="array" ref="S173">_xlfn.IFS(O173&gt;30000,"Premium",30000&lt;O173&gt;10000,"Standard",O173&lt;10000,"Budget")</f>
        <v>Premium</v>
      </c>
    </row>
    <row r="174" spans="1:19" x14ac:dyDescent="0.35">
      <c r="A174" s="1">
        <v>45503</v>
      </c>
      <c r="B174" t="s">
        <v>22</v>
      </c>
      <c r="C174" t="s">
        <v>25</v>
      </c>
      <c r="D174" t="s">
        <v>21</v>
      </c>
      <c r="E174">
        <v>26</v>
      </c>
      <c r="F174">
        <v>4467</v>
      </c>
      <c r="H174">
        <v>116142</v>
      </c>
      <c r="I174" t="str">
        <f t="shared" si="21"/>
        <v>Aarav</v>
      </c>
      <c r="J174" t="str">
        <f t="shared" si="22"/>
        <v>Northwest</v>
      </c>
      <c r="K174" t="str">
        <f t="shared" si="23"/>
        <v>Webcam</v>
      </c>
      <c r="L174">
        <f t="shared" si="24"/>
        <v>26</v>
      </c>
      <c r="M174">
        <f t="shared" si="25"/>
        <v>4467</v>
      </c>
      <c r="N174" s="2">
        <f t="shared" si="26"/>
        <v>0</v>
      </c>
      <c r="O174">
        <f t="shared" si="27"/>
        <v>116142</v>
      </c>
      <c r="P174" t="str">
        <f t="shared" si="28"/>
        <v>High Value</v>
      </c>
      <c r="Q174" t="str">
        <f t="shared" si="29"/>
        <v>No</v>
      </c>
      <c r="R174" t="str" cm="1">
        <f t="array" ref="R174">_xlfn.IFS(L174&gt;=20,"Bulk",L174&gt;=10,"Medium",L174&lt;10,"Low")</f>
        <v>Bulk</v>
      </c>
      <c r="S174" t="str" cm="1">
        <f t="array" ref="S174">_xlfn.IFS(O174&gt;30000,"Premium",30000&lt;O174&gt;10000,"Standard",O174&lt;10000,"Budget")</f>
        <v>Premium</v>
      </c>
    </row>
    <row r="175" spans="1:19" x14ac:dyDescent="0.35">
      <c r="A175" s="1">
        <v>45326</v>
      </c>
      <c r="B175" t="s">
        <v>48</v>
      </c>
      <c r="C175" t="s">
        <v>36</v>
      </c>
      <c r="D175" t="s">
        <v>14</v>
      </c>
      <c r="F175">
        <v>-385</v>
      </c>
      <c r="H175">
        <v>-6545</v>
      </c>
      <c r="I175" t="str">
        <f t="shared" si="21"/>
        <v>Zara</v>
      </c>
      <c r="J175" t="str">
        <f t="shared" si="22"/>
        <v>West</v>
      </c>
      <c r="K175" t="str">
        <f t="shared" si="23"/>
        <v>Mouse</v>
      </c>
      <c r="L175">
        <f t="shared" si="24"/>
        <v>0</v>
      </c>
      <c r="M175">
        <f t="shared" si="25"/>
        <v>385</v>
      </c>
      <c r="N175" s="2">
        <f t="shared" si="26"/>
        <v>0</v>
      </c>
      <c r="O175">
        <f t="shared" si="27"/>
        <v>6545</v>
      </c>
      <c r="P175" t="str">
        <f t="shared" si="28"/>
        <v>Normal Sale</v>
      </c>
      <c r="Q175" t="str">
        <f t="shared" si="29"/>
        <v>No</v>
      </c>
      <c r="R175" t="str" cm="1">
        <f t="array" ref="R175">_xlfn.IFS(L175&gt;=20,"Bulk",L175&gt;=10,"Medium",L175&lt;10,"Low")</f>
        <v>Low</v>
      </c>
      <c r="S175" t="str" cm="1">
        <f t="array" ref="S175">_xlfn.IFS(O175&gt;30000,"Premium",30000&lt;O175&gt;10000,"Standard",O175&lt;10000,"Budget")</f>
        <v>Standard</v>
      </c>
    </row>
    <row r="176" spans="1:19" x14ac:dyDescent="0.35">
      <c r="A176" s="1">
        <v>45575</v>
      </c>
      <c r="B176" t="s">
        <v>50</v>
      </c>
      <c r="C176" t="s">
        <v>41</v>
      </c>
      <c r="D176" t="s">
        <v>42</v>
      </c>
      <c r="E176">
        <v>9</v>
      </c>
      <c r="F176">
        <v>19233</v>
      </c>
      <c r="H176">
        <v>173097</v>
      </c>
      <c r="I176" t="str">
        <f t="shared" si="21"/>
        <v>Omkar</v>
      </c>
      <c r="J176" t="str">
        <f t="shared" si="22"/>
        <v>Southeast</v>
      </c>
      <c r="K176" t="str">
        <f t="shared" si="23"/>
        <v>Tablet</v>
      </c>
      <c r="L176">
        <f t="shared" si="24"/>
        <v>9</v>
      </c>
      <c r="M176">
        <f t="shared" si="25"/>
        <v>19233</v>
      </c>
      <c r="N176" s="2">
        <f t="shared" si="26"/>
        <v>0</v>
      </c>
      <c r="O176">
        <f t="shared" si="27"/>
        <v>173097</v>
      </c>
      <c r="P176" t="str">
        <f t="shared" si="28"/>
        <v>High Value</v>
      </c>
      <c r="Q176" t="str">
        <f t="shared" si="29"/>
        <v>No</v>
      </c>
      <c r="R176" t="str" cm="1">
        <f t="array" ref="R176">_xlfn.IFS(L176&gt;=20,"Bulk",L176&gt;=10,"Medium",L176&lt;10,"Low")</f>
        <v>Low</v>
      </c>
      <c r="S176" t="str" cm="1">
        <f t="array" ref="S176">_xlfn.IFS(O176&gt;30000,"Premium",30000&lt;O176&gt;10000,"Standard",O176&lt;10000,"Budget")</f>
        <v>Premium</v>
      </c>
    </row>
    <row r="177" spans="1:33" x14ac:dyDescent="0.35">
      <c r="A177" s="1">
        <v>45363</v>
      </c>
      <c r="B177" t="s">
        <v>58</v>
      </c>
      <c r="C177" t="s">
        <v>20</v>
      </c>
      <c r="D177" t="s">
        <v>14</v>
      </c>
      <c r="E177">
        <v>2</v>
      </c>
      <c r="F177">
        <v>3750</v>
      </c>
      <c r="G177">
        <v>0</v>
      </c>
      <c r="H177">
        <v>7500</v>
      </c>
      <c r="I177" t="str">
        <f t="shared" si="21"/>
        <v>Rohan</v>
      </c>
      <c r="J177" t="str">
        <f t="shared" si="22"/>
        <v>Southwest</v>
      </c>
      <c r="K177" t="str">
        <f t="shared" si="23"/>
        <v>Mouse</v>
      </c>
      <c r="L177">
        <f t="shared" si="24"/>
        <v>2</v>
      </c>
      <c r="M177">
        <f t="shared" si="25"/>
        <v>3750</v>
      </c>
      <c r="N177" s="2">
        <f t="shared" si="26"/>
        <v>0</v>
      </c>
      <c r="O177">
        <f t="shared" si="27"/>
        <v>7500</v>
      </c>
      <c r="P177" t="str">
        <f t="shared" si="28"/>
        <v>Normal Sale</v>
      </c>
      <c r="Q177" t="str">
        <f t="shared" si="29"/>
        <v>No</v>
      </c>
      <c r="R177" t="str" cm="1">
        <f t="array" ref="R177">_xlfn.IFS(L177&gt;=20,"Bulk",L177&gt;=10,"Medium",L177&lt;10,"Low")</f>
        <v>Low</v>
      </c>
      <c r="S177" t="str" cm="1">
        <f t="array" ref="S177">_xlfn.IFS(O177&gt;30000,"Premium",30000&lt;O177&gt;10000,"Standard",O177&lt;10000,"Budget")</f>
        <v>Standard</v>
      </c>
    </row>
    <row r="178" spans="1:33" x14ac:dyDescent="0.35">
      <c r="A178" s="1">
        <v>45442</v>
      </c>
      <c r="B178" t="s">
        <v>51</v>
      </c>
      <c r="C178" t="s">
        <v>13</v>
      </c>
      <c r="D178" t="s">
        <v>19</v>
      </c>
      <c r="E178">
        <v>21</v>
      </c>
      <c r="F178">
        <v>13853</v>
      </c>
      <c r="G178">
        <v>20</v>
      </c>
      <c r="H178">
        <v>232730.4</v>
      </c>
      <c r="I178" t="str">
        <f t="shared" si="21"/>
        <v>Vikram</v>
      </c>
      <c r="J178" t="str">
        <f t="shared" si="22"/>
        <v>Northeast</v>
      </c>
      <c r="K178" t="str">
        <f t="shared" si="23"/>
        <v>Monitor</v>
      </c>
      <c r="L178">
        <f t="shared" si="24"/>
        <v>21</v>
      </c>
      <c r="M178">
        <f t="shared" si="25"/>
        <v>13853</v>
      </c>
      <c r="N178" s="2">
        <f t="shared" si="26"/>
        <v>20</v>
      </c>
      <c r="O178">
        <f t="shared" si="27"/>
        <v>232730.4</v>
      </c>
      <c r="P178" t="str">
        <f t="shared" si="28"/>
        <v>High Value</v>
      </c>
      <c r="Q178" t="str">
        <f t="shared" si="29"/>
        <v>Yes</v>
      </c>
      <c r="R178" t="str" cm="1">
        <f t="array" ref="R178">_xlfn.IFS(L178&gt;=20,"Bulk",L178&gt;=10,"Medium",L178&lt;10,"Low")</f>
        <v>Bulk</v>
      </c>
      <c r="S178" t="str" cm="1">
        <f t="array" ref="S178">_xlfn.IFS(O178&gt;30000,"Premium",30000&lt;O178&gt;10000,"Standard",O178&lt;10000,"Budget")</f>
        <v>Premium</v>
      </c>
    </row>
    <row r="179" spans="1:33" x14ac:dyDescent="0.35">
      <c r="A179" s="1">
        <v>45515</v>
      </c>
      <c r="B179" t="s">
        <v>55</v>
      </c>
      <c r="C179" t="s">
        <v>34</v>
      </c>
      <c r="D179" t="s">
        <v>17</v>
      </c>
      <c r="E179">
        <v>10</v>
      </c>
      <c r="F179">
        <v>527</v>
      </c>
      <c r="H179">
        <v>5270</v>
      </c>
      <c r="I179" t="str">
        <f t="shared" si="21"/>
        <v>Meera</v>
      </c>
      <c r="J179" t="str">
        <f t="shared" si="22"/>
        <v>East</v>
      </c>
      <c r="K179" t="str">
        <f t="shared" si="23"/>
        <v>Router</v>
      </c>
      <c r="L179">
        <f t="shared" si="24"/>
        <v>10</v>
      </c>
      <c r="M179">
        <f t="shared" si="25"/>
        <v>527</v>
      </c>
      <c r="N179" s="2">
        <f t="shared" si="26"/>
        <v>0</v>
      </c>
      <c r="O179">
        <f t="shared" si="27"/>
        <v>5270</v>
      </c>
      <c r="P179" t="str">
        <f t="shared" si="28"/>
        <v>Normal Sale</v>
      </c>
      <c r="Q179" t="str">
        <f t="shared" si="29"/>
        <v>No</v>
      </c>
      <c r="R179" t="str" cm="1">
        <f t="array" ref="R179">_xlfn.IFS(L179&gt;=20,"Bulk",L179&gt;=10,"Medium",L179&lt;10,"Low")</f>
        <v>Medium</v>
      </c>
      <c r="S179" t="str" cm="1">
        <f t="array" ref="S179">_xlfn.IFS(O179&gt;30000,"Premium",30000&lt;O179&gt;10000,"Standard",O179&lt;10000,"Budget")</f>
        <v>Standard</v>
      </c>
    </row>
    <row r="180" spans="1:33" x14ac:dyDescent="0.35">
      <c r="A180" s="1">
        <v>45561</v>
      </c>
      <c r="B180" t="s">
        <v>29</v>
      </c>
      <c r="C180" t="s">
        <v>41</v>
      </c>
      <c r="D180" t="s">
        <v>17</v>
      </c>
      <c r="E180">
        <v>28</v>
      </c>
      <c r="F180">
        <v>2687</v>
      </c>
      <c r="G180">
        <v>15</v>
      </c>
      <c r="H180">
        <v>63950.6</v>
      </c>
      <c r="I180" t="str">
        <f t="shared" si="21"/>
        <v>Mihir</v>
      </c>
      <c r="J180" t="str">
        <f t="shared" si="22"/>
        <v>Southeast</v>
      </c>
      <c r="K180" t="str">
        <f t="shared" si="23"/>
        <v>Router</v>
      </c>
      <c r="L180">
        <f t="shared" si="24"/>
        <v>28</v>
      </c>
      <c r="M180">
        <f t="shared" si="25"/>
        <v>2687</v>
      </c>
      <c r="N180" s="2">
        <f t="shared" si="26"/>
        <v>15</v>
      </c>
      <c r="O180">
        <f t="shared" si="27"/>
        <v>63950.6</v>
      </c>
      <c r="P180" t="str">
        <f t="shared" si="28"/>
        <v>High Value</v>
      </c>
      <c r="Q180" t="str">
        <f t="shared" si="29"/>
        <v>Yes</v>
      </c>
      <c r="R180" t="str" cm="1">
        <f t="array" ref="R180">_xlfn.IFS(L180&gt;=20,"Bulk",L180&gt;=10,"Medium",L180&lt;10,"Low")</f>
        <v>Bulk</v>
      </c>
      <c r="S180" t="str" cm="1">
        <f t="array" ref="S180">_xlfn.IFS(O180&gt;30000,"Premium",30000&lt;O180&gt;10000,"Standard",O180&lt;10000,"Budget")</f>
        <v>Premium</v>
      </c>
    </row>
    <row r="181" spans="1:33" x14ac:dyDescent="0.35">
      <c r="A181" s="1">
        <v>45570</v>
      </c>
      <c r="B181" t="s">
        <v>55</v>
      </c>
      <c r="C181" t="s">
        <v>16</v>
      </c>
      <c r="D181" t="s">
        <v>9</v>
      </c>
      <c r="E181">
        <v>14</v>
      </c>
      <c r="F181">
        <v>6703</v>
      </c>
      <c r="G181">
        <v>20</v>
      </c>
      <c r="H181">
        <v>75073.600000000006</v>
      </c>
      <c r="I181" t="str">
        <f t="shared" si="21"/>
        <v>Meera</v>
      </c>
      <c r="J181" t="str">
        <f t="shared" si="22"/>
        <v>North</v>
      </c>
      <c r="K181" t="str">
        <f t="shared" si="23"/>
        <v>Printer</v>
      </c>
      <c r="L181">
        <f t="shared" si="24"/>
        <v>14</v>
      </c>
      <c r="M181">
        <f t="shared" si="25"/>
        <v>6703</v>
      </c>
      <c r="N181" s="2">
        <f t="shared" si="26"/>
        <v>20</v>
      </c>
      <c r="O181">
        <f t="shared" si="27"/>
        <v>75073.600000000006</v>
      </c>
      <c r="P181" t="str">
        <f t="shared" si="28"/>
        <v>High Value</v>
      </c>
      <c r="Q181" t="str">
        <f t="shared" si="29"/>
        <v>Yes</v>
      </c>
      <c r="R181" t="str" cm="1">
        <f t="array" ref="R181">_xlfn.IFS(L181&gt;=20,"Bulk",L181&gt;=10,"Medium",L181&lt;10,"Low")</f>
        <v>Medium</v>
      </c>
      <c r="S181" t="str" cm="1">
        <f t="array" ref="S181">_xlfn.IFS(O181&gt;30000,"Premium",30000&lt;O181&gt;10000,"Standard",O181&lt;10000,"Budget")</f>
        <v>Premium</v>
      </c>
    </row>
    <row r="182" spans="1:33" x14ac:dyDescent="0.35">
      <c r="A182" s="1"/>
      <c r="N182" s="2"/>
    </row>
    <row r="183" spans="1:33" s="3" customFormat="1" x14ac:dyDescent="0.35">
      <c r="A183" s="4"/>
      <c r="N183" s="5"/>
    </row>
    <row r="184" spans="1:33" x14ac:dyDescent="0.35">
      <c r="B184" t="s">
        <v>68</v>
      </c>
      <c r="L184" t="s">
        <v>66</v>
      </c>
      <c r="M184" t="s">
        <v>67</v>
      </c>
      <c r="O184" t="s">
        <v>70</v>
      </c>
    </row>
    <row r="185" spans="1:33" x14ac:dyDescent="0.35">
      <c r="B185" s="3">
        <f>COUNTA(B2:B181)</f>
        <v>174</v>
      </c>
      <c r="L185" s="3">
        <f>SUM(L2:L181)</f>
        <v>2731</v>
      </c>
      <c r="M185" s="3">
        <f>COUNT(M2:M181)</f>
        <v>180</v>
      </c>
      <c r="O185" s="3">
        <f>SUMIF(K2:K181,"Laptop",O2:O181)</f>
        <v>14717019</v>
      </c>
      <c r="P185" s="3"/>
      <c r="Q185" s="3"/>
      <c r="R185" s="3"/>
      <c r="S185" s="3"/>
      <c r="T185" s="3"/>
      <c r="U185" s="3"/>
      <c r="V185" s="3"/>
      <c r="W185" s="3"/>
      <c r="X185" s="3"/>
      <c r="Y185" s="3"/>
      <c r="Z185" s="3"/>
      <c r="AA185" s="3"/>
      <c r="AB185" s="3"/>
      <c r="AC185" s="3"/>
      <c r="AD185" s="3"/>
      <c r="AE185" s="3"/>
      <c r="AF185" s="3"/>
      <c r="AG185" s="3"/>
    </row>
    <row r="187" spans="1:33" x14ac:dyDescent="0.35">
      <c r="B187" t="s">
        <v>69</v>
      </c>
      <c r="L187" t="s">
        <v>71</v>
      </c>
    </row>
    <row r="188" spans="1:33" x14ac:dyDescent="0.35">
      <c r="B188" s="3">
        <f>COUNTBLANK(B2:B181)</f>
        <v>6</v>
      </c>
      <c r="L188" s="3">
        <f>SUMIF(J2:J181,"North",L2:L181)</f>
        <v>337</v>
      </c>
    </row>
    <row r="190" spans="1:33" x14ac:dyDescent="0.35">
      <c r="M190" t="s">
        <v>72</v>
      </c>
    </row>
    <row r="191" spans="1:33" x14ac:dyDescent="0.35">
      <c r="L191" s="3"/>
      <c r="M191" s="3">
        <f>AVERAGEIF(K2:K181,"Smartphone",M2:M181)</f>
        <v>24806</v>
      </c>
    </row>
    <row r="193" spans="12:12" x14ac:dyDescent="0.35">
      <c r="L193" t="s">
        <v>73</v>
      </c>
    </row>
    <row r="194" spans="12:12" x14ac:dyDescent="0.35">
      <c r="L194" s="3">
        <f>AVERAGEIF(J2:J181,"Southwest",L2:L181)</f>
        <v>14.296296296296296</v>
      </c>
    </row>
  </sheetData>
  <pageMargins left="0.75" right="0.75" top="1" bottom="1" header="0.5" footer="0.5"/>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95756-F69D-433E-A903-7E72CDF4268D}">
  <dimension ref="A1:M16"/>
  <sheetViews>
    <sheetView workbookViewId="0">
      <selection activeCell="A3" sqref="A3:M16"/>
    </sheetView>
  </sheetViews>
  <sheetFormatPr defaultRowHeight="14.5" x14ac:dyDescent="0.35"/>
  <cols>
    <col min="1" max="1" width="9.453125" bestFit="1" customWidth="1"/>
    <col min="2" max="2" width="11.26953125" bestFit="1" customWidth="1"/>
    <col min="3" max="3" width="9.54296875" bestFit="1" customWidth="1"/>
    <col min="4" max="4" width="11.36328125" bestFit="1" customWidth="1"/>
    <col min="5" max="5" width="10.453125" bestFit="1" customWidth="1"/>
    <col min="6" max="6" width="10.7265625" bestFit="1" customWidth="1"/>
    <col min="7" max="7" width="11.90625" bestFit="1" customWidth="1"/>
    <col min="8" max="8" width="11.54296875" bestFit="1" customWidth="1"/>
    <col min="9" max="10" width="8.81640625" bestFit="1" customWidth="1"/>
    <col min="11" max="11" width="9.7265625" bestFit="1" customWidth="1"/>
    <col min="12" max="12" width="16.36328125" bestFit="1" customWidth="1"/>
    <col min="13" max="13" width="12.6328125" bestFit="1" customWidth="1"/>
  </cols>
  <sheetData>
    <row r="1" spans="1:13" x14ac:dyDescent="0.35">
      <c r="A1" s="3" t="s">
        <v>99</v>
      </c>
    </row>
    <row r="3" spans="1:13" x14ac:dyDescent="0.35">
      <c r="A3" t="s">
        <v>0</v>
      </c>
      <c r="B3" t="s">
        <v>1</v>
      </c>
      <c r="C3" t="s">
        <v>2</v>
      </c>
      <c r="D3" t="s">
        <v>3</v>
      </c>
      <c r="E3" t="s">
        <v>4</v>
      </c>
      <c r="F3" t="s">
        <v>5</v>
      </c>
      <c r="G3" t="s">
        <v>6</v>
      </c>
      <c r="H3" t="s">
        <v>7</v>
      </c>
      <c r="I3" t="s">
        <v>90</v>
      </c>
      <c r="J3" t="s">
        <v>91</v>
      </c>
      <c r="K3" t="s">
        <v>92</v>
      </c>
      <c r="L3" t="s">
        <v>93</v>
      </c>
      <c r="M3" t="s">
        <v>94</v>
      </c>
    </row>
    <row r="4" spans="1:13" x14ac:dyDescent="0.35">
      <c r="A4" s="6">
        <v>45467</v>
      </c>
      <c r="B4" t="s">
        <v>29</v>
      </c>
      <c r="C4" t="s">
        <v>34</v>
      </c>
      <c r="D4" t="s">
        <v>23</v>
      </c>
      <c r="E4">
        <v>20</v>
      </c>
      <c r="F4">
        <v>50838</v>
      </c>
      <c r="G4">
        <v>10</v>
      </c>
      <c r="H4">
        <v>915084</v>
      </c>
      <c r="I4">
        <v>2024</v>
      </c>
      <c r="J4">
        <v>6</v>
      </c>
      <c r="K4">
        <v>2</v>
      </c>
      <c r="L4">
        <v>5</v>
      </c>
      <c r="M4">
        <v>176</v>
      </c>
    </row>
    <row r="5" spans="1:13" x14ac:dyDescent="0.35">
      <c r="A5" s="6">
        <v>45473</v>
      </c>
      <c r="B5" t="s">
        <v>26</v>
      </c>
      <c r="C5" t="s">
        <v>89</v>
      </c>
      <c r="D5" t="s">
        <v>28</v>
      </c>
      <c r="E5">
        <v>20</v>
      </c>
      <c r="F5">
        <v>2940</v>
      </c>
      <c r="G5">
        <v>16</v>
      </c>
      <c r="H5">
        <v>58800</v>
      </c>
      <c r="I5">
        <v>2024</v>
      </c>
      <c r="J5">
        <v>6</v>
      </c>
      <c r="K5">
        <v>2</v>
      </c>
      <c r="L5">
        <v>6</v>
      </c>
      <c r="M5">
        <v>182</v>
      </c>
    </row>
    <row r="6" spans="1:13" x14ac:dyDescent="0.35">
      <c r="A6" s="6">
        <v>45467</v>
      </c>
      <c r="B6" t="s">
        <v>8</v>
      </c>
      <c r="C6" t="s">
        <v>16</v>
      </c>
      <c r="D6" t="s">
        <v>32</v>
      </c>
      <c r="E6">
        <v>9</v>
      </c>
      <c r="F6">
        <v>4197</v>
      </c>
      <c r="G6">
        <v>15</v>
      </c>
      <c r="H6">
        <v>32107</v>
      </c>
      <c r="I6">
        <v>2024</v>
      </c>
      <c r="J6">
        <v>6</v>
      </c>
      <c r="K6">
        <v>2</v>
      </c>
      <c r="L6">
        <v>5</v>
      </c>
      <c r="M6">
        <v>176</v>
      </c>
    </row>
    <row r="7" spans="1:13" x14ac:dyDescent="0.35">
      <c r="A7" s="6">
        <v>45449</v>
      </c>
      <c r="B7" t="s">
        <v>47</v>
      </c>
      <c r="C7" t="s">
        <v>34</v>
      </c>
      <c r="D7" t="s">
        <v>17</v>
      </c>
      <c r="E7">
        <v>11</v>
      </c>
      <c r="F7">
        <v>4473</v>
      </c>
      <c r="G7">
        <v>15</v>
      </c>
      <c r="H7">
        <v>41823</v>
      </c>
      <c r="I7">
        <v>2024</v>
      </c>
      <c r="J7">
        <v>6</v>
      </c>
      <c r="K7">
        <v>2</v>
      </c>
      <c r="L7">
        <v>2</v>
      </c>
      <c r="M7">
        <v>158</v>
      </c>
    </row>
    <row r="8" spans="1:13" x14ac:dyDescent="0.35">
      <c r="A8" s="6">
        <v>45453</v>
      </c>
      <c r="B8" t="s">
        <v>47</v>
      </c>
      <c r="C8" t="s">
        <v>89</v>
      </c>
      <c r="D8" t="s">
        <v>23</v>
      </c>
      <c r="E8">
        <v>26</v>
      </c>
      <c r="F8">
        <v>52475</v>
      </c>
      <c r="G8">
        <v>10</v>
      </c>
      <c r="H8">
        <v>1227915</v>
      </c>
      <c r="I8">
        <v>2024</v>
      </c>
      <c r="J8">
        <v>6</v>
      </c>
      <c r="K8">
        <v>2</v>
      </c>
      <c r="L8">
        <v>3</v>
      </c>
      <c r="M8">
        <v>162</v>
      </c>
    </row>
    <row r="9" spans="1:13" x14ac:dyDescent="0.35">
      <c r="A9" s="6">
        <v>45470</v>
      </c>
      <c r="B9" t="s">
        <v>22</v>
      </c>
      <c r="C9" t="s">
        <v>16</v>
      </c>
      <c r="D9" t="s">
        <v>17</v>
      </c>
      <c r="E9">
        <v>30</v>
      </c>
      <c r="F9">
        <v>4800</v>
      </c>
      <c r="G9">
        <v>15</v>
      </c>
      <c r="H9">
        <v>122400</v>
      </c>
      <c r="I9">
        <v>2024</v>
      </c>
      <c r="J9">
        <v>6</v>
      </c>
      <c r="K9">
        <v>2</v>
      </c>
      <c r="L9">
        <v>5</v>
      </c>
      <c r="M9">
        <v>179</v>
      </c>
    </row>
    <row r="10" spans="1:13" x14ac:dyDescent="0.35">
      <c r="A10" s="6">
        <v>45472</v>
      </c>
      <c r="B10" t="s">
        <v>26</v>
      </c>
      <c r="C10" t="s">
        <v>13</v>
      </c>
      <c r="D10" t="s">
        <v>30</v>
      </c>
      <c r="E10">
        <v>4</v>
      </c>
      <c r="F10">
        <v>800</v>
      </c>
      <c r="G10">
        <v>10</v>
      </c>
      <c r="H10">
        <v>2880</v>
      </c>
      <c r="I10">
        <v>2024</v>
      </c>
      <c r="J10">
        <v>6</v>
      </c>
      <c r="K10">
        <v>2</v>
      </c>
      <c r="L10">
        <v>5</v>
      </c>
      <c r="M10">
        <v>181</v>
      </c>
    </row>
    <row r="11" spans="1:13" x14ac:dyDescent="0.35">
      <c r="A11" s="6">
        <v>45452</v>
      </c>
      <c r="B11" t="s">
        <v>47</v>
      </c>
      <c r="C11" t="s">
        <v>89</v>
      </c>
      <c r="D11" t="s">
        <v>32</v>
      </c>
      <c r="E11">
        <v>12</v>
      </c>
      <c r="F11">
        <v>193</v>
      </c>
      <c r="G11">
        <v>15</v>
      </c>
      <c r="H11">
        <v>1969</v>
      </c>
      <c r="I11">
        <v>2024</v>
      </c>
      <c r="J11">
        <v>6</v>
      </c>
      <c r="K11">
        <v>2</v>
      </c>
      <c r="L11">
        <v>3</v>
      </c>
      <c r="M11">
        <v>161</v>
      </c>
    </row>
    <row r="12" spans="1:13" x14ac:dyDescent="0.35">
      <c r="A12" s="6">
        <v>45458</v>
      </c>
      <c r="B12" t="s">
        <v>54</v>
      </c>
      <c r="C12" t="s">
        <v>41</v>
      </c>
      <c r="D12" t="s">
        <v>17</v>
      </c>
      <c r="E12">
        <v>13</v>
      </c>
      <c r="F12">
        <v>1525</v>
      </c>
      <c r="G12">
        <v>20</v>
      </c>
      <c r="H12">
        <v>15860</v>
      </c>
      <c r="I12">
        <v>2024</v>
      </c>
      <c r="J12">
        <v>6</v>
      </c>
      <c r="K12">
        <v>2</v>
      </c>
      <c r="L12">
        <v>3</v>
      </c>
      <c r="M12">
        <v>167</v>
      </c>
    </row>
    <row r="13" spans="1:13" x14ac:dyDescent="0.35">
      <c r="A13" s="6">
        <v>45468</v>
      </c>
      <c r="B13" t="s">
        <v>52</v>
      </c>
      <c r="C13" t="s">
        <v>11</v>
      </c>
      <c r="D13" t="s">
        <v>19</v>
      </c>
      <c r="E13">
        <v>16</v>
      </c>
      <c r="F13">
        <v>13987</v>
      </c>
      <c r="G13">
        <v>16</v>
      </c>
      <c r="H13">
        <v>307714</v>
      </c>
      <c r="I13">
        <v>2024</v>
      </c>
      <c r="J13">
        <v>6</v>
      </c>
      <c r="K13">
        <v>2</v>
      </c>
      <c r="L13">
        <v>5</v>
      </c>
      <c r="M13">
        <v>177</v>
      </c>
    </row>
    <row r="14" spans="1:13" x14ac:dyDescent="0.35">
      <c r="A14" s="6">
        <v>45447</v>
      </c>
      <c r="B14" t="s">
        <v>43</v>
      </c>
      <c r="C14" t="s">
        <v>20</v>
      </c>
      <c r="D14" t="s">
        <v>19</v>
      </c>
      <c r="E14">
        <v>23</v>
      </c>
      <c r="F14">
        <v>13198</v>
      </c>
      <c r="G14">
        <v>0</v>
      </c>
      <c r="H14">
        <v>303554</v>
      </c>
      <c r="I14">
        <v>2024</v>
      </c>
      <c r="J14">
        <v>6</v>
      </c>
      <c r="K14">
        <v>2</v>
      </c>
      <c r="L14">
        <v>2</v>
      </c>
      <c r="M14">
        <v>156</v>
      </c>
    </row>
    <row r="15" spans="1:13" x14ac:dyDescent="0.35">
      <c r="A15" s="6">
        <v>45457</v>
      </c>
      <c r="B15" t="s">
        <v>8</v>
      </c>
      <c r="C15" t="s">
        <v>36</v>
      </c>
      <c r="D15" t="s">
        <v>14</v>
      </c>
      <c r="E15">
        <v>1</v>
      </c>
      <c r="F15">
        <v>2351</v>
      </c>
      <c r="G15">
        <v>5</v>
      </c>
      <c r="H15">
        <v>2233</v>
      </c>
      <c r="I15">
        <v>2024</v>
      </c>
      <c r="J15">
        <v>6</v>
      </c>
      <c r="K15">
        <v>2</v>
      </c>
      <c r="L15">
        <v>3</v>
      </c>
      <c r="M15">
        <v>166</v>
      </c>
    </row>
    <row r="16" spans="1:13" x14ac:dyDescent="0.35">
      <c r="A16" s="6">
        <v>45445</v>
      </c>
      <c r="B16" t="s">
        <v>31</v>
      </c>
      <c r="C16" t="s">
        <v>13</v>
      </c>
      <c r="D16" t="s">
        <v>38</v>
      </c>
      <c r="E16">
        <v>17</v>
      </c>
      <c r="F16">
        <v>22568</v>
      </c>
      <c r="G16">
        <v>5</v>
      </c>
      <c r="H16">
        <v>364473</v>
      </c>
      <c r="I16">
        <v>2024</v>
      </c>
      <c r="J16">
        <v>6</v>
      </c>
      <c r="K16">
        <v>2</v>
      </c>
      <c r="L16">
        <v>2</v>
      </c>
      <c r="M16">
        <v>154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E360B-1DBF-4B33-BC96-0D8ADCF04638}">
  <dimension ref="A1:M183"/>
  <sheetViews>
    <sheetView workbookViewId="0">
      <selection activeCell="C22" sqref="C22"/>
    </sheetView>
  </sheetViews>
  <sheetFormatPr defaultRowHeight="14.5" x14ac:dyDescent="0.35"/>
  <cols>
    <col min="1" max="1" width="10.453125" bestFit="1" customWidth="1"/>
    <col min="2" max="2" width="11.26953125" bestFit="1" customWidth="1"/>
    <col min="3" max="3" width="9.54296875" bestFit="1" customWidth="1"/>
    <col min="4" max="4" width="11.36328125" bestFit="1" customWidth="1"/>
    <col min="5" max="5" width="10.453125" bestFit="1" customWidth="1"/>
    <col min="6" max="6" width="10.7265625" bestFit="1" customWidth="1"/>
    <col min="7" max="7" width="11.90625" bestFit="1" customWidth="1"/>
    <col min="8" max="8" width="11.54296875" bestFit="1" customWidth="1"/>
    <col min="9" max="10" width="8.81640625" bestFit="1" customWidth="1"/>
    <col min="11" max="11" width="9.7265625" bestFit="1" customWidth="1"/>
    <col min="12" max="12" width="16.36328125" bestFit="1" customWidth="1"/>
    <col min="13" max="13" width="12.6328125" bestFit="1" customWidth="1"/>
  </cols>
  <sheetData>
    <row r="1" spans="1:13" x14ac:dyDescent="0.35">
      <c r="A1" s="3" t="s">
        <v>102</v>
      </c>
    </row>
    <row r="3" spans="1:13" x14ac:dyDescent="0.35">
      <c r="A3" t="s">
        <v>0</v>
      </c>
      <c r="B3" t="s">
        <v>1</v>
      </c>
      <c r="C3" t="s">
        <v>2</v>
      </c>
      <c r="D3" t="s">
        <v>3</v>
      </c>
      <c r="E3" t="s">
        <v>4</v>
      </c>
      <c r="F3" t="s">
        <v>5</v>
      </c>
      <c r="G3" t="s">
        <v>6</v>
      </c>
      <c r="H3" t="s">
        <v>7</v>
      </c>
      <c r="I3" t="s">
        <v>90</v>
      </c>
      <c r="J3" t="s">
        <v>91</v>
      </c>
      <c r="K3" t="s">
        <v>92</v>
      </c>
      <c r="L3" t="s">
        <v>93</v>
      </c>
      <c r="M3" t="s">
        <v>94</v>
      </c>
    </row>
    <row r="4" spans="1:13" x14ac:dyDescent="0.35">
      <c r="A4" s="6">
        <v>45607</v>
      </c>
      <c r="B4" t="s">
        <v>8</v>
      </c>
      <c r="C4" t="s">
        <v>89</v>
      </c>
      <c r="D4" t="s">
        <v>9</v>
      </c>
      <c r="E4">
        <v>7</v>
      </c>
      <c r="F4">
        <v>6060</v>
      </c>
      <c r="G4">
        <v>10</v>
      </c>
      <c r="H4">
        <v>38178</v>
      </c>
      <c r="I4">
        <v>2024</v>
      </c>
      <c r="J4">
        <v>11</v>
      </c>
      <c r="K4">
        <v>4</v>
      </c>
      <c r="L4">
        <v>3</v>
      </c>
      <c r="M4">
        <v>316</v>
      </c>
    </row>
    <row r="5" spans="1:13" x14ac:dyDescent="0.35">
      <c r="A5" s="6">
        <v>45403</v>
      </c>
      <c r="B5" t="s">
        <v>10</v>
      </c>
      <c r="C5" t="s">
        <v>11</v>
      </c>
      <c r="D5" t="s">
        <v>9</v>
      </c>
      <c r="E5">
        <v>28</v>
      </c>
      <c r="F5">
        <v>6928</v>
      </c>
      <c r="G5">
        <v>20</v>
      </c>
      <c r="H5">
        <v>155187</v>
      </c>
      <c r="I5">
        <v>2024</v>
      </c>
      <c r="J5">
        <v>4</v>
      </c>
      <c r="K5">
        <v>2</v>
      </c>
      <c r="L5">
        <v>4</v>
      </c>
      <c r="M5">
        <v>112</v>
      </c>
    </row>
    <row r="6" spans="1:13" x14ac:dyDescent="0.35">
      <c r="A6" s="6">
        <v>45407</v>
      </c>
      <c r="B6" t="s">
        <v>12</v>
      </c>
      <c r="C6" t="s">
        <v>13</v>
      </c>
      <c r="D6" t="s">
        <v>14</v>
      </c>
      <c r="E6">
        <v>23</v>
      </c>
      <c r="F6">
        <v>1599</v>
      </c>
      <c r="G6">
        <v>16</v>
      </c>
      <c r="H6">
        <v>36777</v>
      </c>
      <c r="I6">
        <v>2024</v>
      </c>
      <c r="J6">
        <v>4</v>
      </c>
      <c r="K6">
        <v>2</v>
      </c>
      <c r="L6">
        <v>4</v>
      </c>
      <c r="M6">
        <v>116</v>
      </c>
    </row>
    <row r="7" spans="1:13" x14ac:dyDescent="0.35">
      <c r="A7" s="6">
        <v>45598</v>
      </c>
      <c r="B7" t="s">
        <v>15</v>
      </c>
      <c r="C7" t="s">
        <v>16</v>
      </c>
      <c r="D7" t="s">
        <v>17</v>
      </c>
      <c r="E7">
        <v>24</v>
      </c>
      <c r="F7">
        <v>1477</v>
      </c>
      <c r="G7">
        <v>20</v>
      </c>
      <c r="H7">
        <v>28358</v>
      </c>
      <c r="I7">
        <v>2024</v>
      </c>
      <c r="J7">
        <v>11</v>
      </c>
      <c r="K7">
        <v>4</v>
      </c>
      <c r="L7">
        <v>1</v>
      </c>
      <c r="M7">
        <v>307</v>
      </c>
    </row>
    <row r="8" spans="1:13" x14ac:dyDescent="0.35">
      <c r="A8" s="6">
        <v>45501</v>
      </c>
      <c r="B8" t="s">
        <v>18</v>
      </c>
      <c r="C8" t="s">
        <v>89</v>
      </c>
      <c r="D8" t="s">
        <v>19</v>
      </c>
      <c r="E8">
        <v>4</v>
      </c>
      <c r="F8">
        <v>14176</v>
      </c>
      <c r="G8">
        <v>0</v>
      </c>
      <c r="H8">
        <v>56704</v>
      </c>
      <c r="I8">
        <v>2024</v>
      </c>
      <c r="J8">
        <v>7</v>
      </c>
      <c r="K8">
        <v>3</v>
      </c>
      <c r="L8">
        <v>5</v>
      </c>
      <c r="M8">
        <v>210</v>
      </c>
    </row>
    <row r="9" spans="1:13" x14ac:dyDescent="0.35">
      <c r="A9" s="6">
        <v>45611</v>
      </c>
      <c r="B9" t="s">
        <v>89</v>
      </c>
      <c r="C9" t="s">
        <v>20</v>
      </c>
      <c r="D9" t="s">
        <v>21</v>
      </c>
      <c r="E9">
        <v>10</v>
      </c>
      <c r="F9">
        <v>49</v>
      </c>
      <c r="G9">
        <v>15</v>
      </c>
      <c r="H9">
        <v>416</v>
      </c>
      <c r="I9">
        <v>2024</v>
      </c>
      <c r="J9">
        <v>11</v>
      </c>
      <c r="K9">
        <v>4</v>
      </c>
      <c r="L9">
        <v>3</v>
      </c>
      <c r="M9">
        <v>320</v>
      </c>
    </row>
    <row r="10" spans="1:13" x14ac:dyDescent="0.35">
      <c r="A10" s="6">
        <v>45419</v>
      </c>
      <c r="B10" t="s">
        <v>10</v>
      </c>
      <c r="C10" t="s">
        <v>16</v>
      </c>
      <c r="D10" t="s">
        <v>21</v>
      </c>
      <c r="E10">
        <v>15</v>
      </c>
      <c r="F10">
        <v>5091</v>
      </c>
      <c r="G10">
        <v>16</v>
      </c>
      <c r="H10">
        <v>75390</v>
      </c>
      <c r="I10">
        <v>2024</v>
      </c>
      <c r="J10">
        <v>5</v>
      </c>
      <c r="K10">
        <v>2</v>
      </c>
      <c r="L10">
        <v>2</v>
      </c>
      <c r="M10">
        <v>128</v>
      </c>
    </row>
    <row r="11" spans="1:13" x14ac:dyDescent="0.35">
      <c r="A11" s="6">
        <v>45330</v>
      </c>
      <c r="B11" t="s">
        <v>22</v>
      </c>
      <c r="C11" t="s">
        <v>13</v>
      </c>
      <c r="D11" t="s">
        <v>23</v>
      </c>
      <c r="E11">
        <v>16</v>
      </c>
      <c r="F11">
        <v>52159</v>
      </c>
      <c r="G11">
        <v>0</v>
      </c>
      <c r="H11">
        <v>834544</v>
      </c>
      <c r="I11">
        <v>2024</v>
      </c>
      <c r="J11">
        <v>2</v>
      </c>
      <c r="K11">
        <v>1</v>
      </c>
      <c r="L11">
        <v>2</v>
      </c>
      <c r="M11">
        <v>39</v>
      </c>
    </row>
    <row r="12" spans="1:13" x14ac:dyDescent="0.35">
      <c r="A12" s="6">
        <v>45382</v>
      </c>
      <c r="B12" t="s">
        <v>24</v>
      </c>
      <c r="C12" t="s">
        <v>25</v>
      </c>
      <c r="D12" t="s">
        <v>9</v>
      </c>
      <c r="E12">
        <v>19</v>
      </c>
      <c r="F12">
        <v>10321</v>
      </c>
      <c r="G12">
        <v>10</v>
      </c>
      <c r="H12">
        <v>176489</v>
      </c>
      <c r="I12">
        <v>2024</v>
      </c>
      <c r="J12">
        <v>3</v>
      </c>
      <c r="K12">
        <v>1</v>
      </c>
      <c r="L12">
        <v>6</v>
      </c>
      <c r="M12">
        <v>91</v>
      </c>
    </row>
    <row r="13" spans="1:13" x14ac:dyDescent="0.35">
      <c r="A13" s="6">
        <v>45302</v>
      </c>
      <c r="B13" t="s">
        <v>26</v>
      </c>
      <c r="C13" t="s">
        <v>25</v>
      </c>
      <c r="D13" t="s">
        <v>17</v>
      </c>
      <c r="E13">
        <v>7</v>
      </c>
      <c r="F13">
        <v>6405</v>
      </c>
      <c r="G13">
        <v>16</v>
      </c>
      <c r="H13">
        <v>44835</v>
      </c>
      <c r="I13">
        <v>2024</v>
      </c>
      <c r="J13">
        <v>1</v>
      </c>
      <c r="K13">
        <v>1</v>
      </c>
      <c r="L13">
        <v>2</v>
      </c>
      <c r="M13">
        <v>11</v>
      </c>
    </row>
    <row r="14" spans="1:13" x14ac:dyDescent="0.35">
      <c r="A14" s="6">
        <v>45607</v>
      </c>
      <c r="B14" t="s">
        <v>27</v>
      </c>
      <c r="C14" t="s">
        <v>13</v>
      </c>
      <c r="D14" t="s">
        <v>28</v>
      </c>
      <c r="E14">
        <v>3</v>
      </c>
      <c r="F14">
        <v>1185</v>
      </c>
      <c r="G14">
        <v>15</v>
      </c>
      <c r="H14">
        <v>3022</v>
      </c>
      <c r="I14">
        <v>2024</v>
      </c>
      <c r="J14">
        <v>11</v>
      </c>
      <c r="K14">
        <v>4</v>
      </c>
      <c r="L14">
        <v>3</v>
      </c>
      <c r="M14">
        <v>316</v>
      </c>
    </row>
    <row r="15" spans="1:13" x14ac:dyDescent="0.35">
      <c r="A15" s="6">
        <v>45645</v>
      </c>
      <c r="B15" t="s">
        <v>29</v>
      </c>
      <c r="C15" t="s">
        <v>20</v>
      </c>
      <c r="D15" t="s">
        <v>30</v>
      </c>
      <c r="E15">
        <v>15</v>
      </c>
      <c r="F15">
        <v>1387</v>
      </c>
      <c r="G15">
        <v>15</v>
      </c>
      <c r="H15">
        <v>17684</v>
      </c>
      <c r="I15">
        <v>2024</v>
      </c>
      <c r="J15">
        <v>12</v>
      </c>
      <c r="K15">
        <v>4</v>
      </c>
      <c r="L15">
        <v>3</v>
      </c>
      <c r="M15">
        <v>354</v>
      </c>
    </row>
    <row r="16" spans="1:13" x14ac:dyDescent="0.35">
      <c r="A16" s="6">
        <v>45530</v>
      </c>
      <c r="B16" t="s">
        <v>31</v>
      </c>
      <c r="C16" t="s">
        <v>16</v>
      </c>
      <c r="D16" t="s">
        <v>28</v>
      </c>
      <c r="E16">
        <v>24</v>
      </c>
      <c r="F16">
        <v>1672</v>
      </c>
      <c r="G16">
        <v>20</v>
      </c>
      <c r="H16">
        <v>32102</v>
      </c>
      <c r="I16">
        <v>2024</v>
      </c>
      <c r="J16">
        <v>8</v>
      </c>
      <c r="K16">
        <v>3</v>
      </c>
      <c r="L16">
        <v>5</v>
      </c>
      <c r="M16">
        <v>239</v>
      </c>
    </row>
    <row r="17" spans="1:13" x14ac:dyDescent="0.35">
      <c r="A17" s="6">
        <v>45629</v>
      </c>
      <c r="B17" t="s">
        <v>24</v>
      </c>
      <c r="C17" t="s">
        <v>16</v>
      </c>
      <c r="D17" t="s">
        <v>32</v>
      </c>
      <c r="E17">
        <v>27</v>
      </c>
      <c r="F17">
        <v>1079</v>
      </c>
      <c r="G17">
        <v>10</v>
      </c>
      <c r="H17">
        <v>26220</v>
      </c>
      <c r="I17">
        <v>2024</v>
      </c>
      <c r="J17">
        <v>12</v>
      </c>
      <c r="K17">
        <v>4</v>
      </c>
      <c r="L17">
        <v>1</v>
      </c>
      <c r="M17">
        <v>338</v>
      </c>
    </row>
    <row r="18" spans="1:13" x14ac:dyDescent="0.35">
      <c r="A18" s="6">
        <v>45634</v>
      </c>
      <c r="B18" t="s">
        <v>33</v>
      </c>
      <c r="C18" t="s">
        <v>89</v>
      </c>
      <c r="D18" t="s">
        <v>9</v>
      </c>
      <c r="E18">
        <v>20</v>
      </c>
      <c r="F18">
        <v>10859</v>
      </c>
      <c r="G18">
        <v>15</v>
      </c>
      <c r="H18">
        <v>184603</v>
      </c>
      <c r="I18">
        <v>2024</v>
      </c>
      <c r="J18">
        <v>12</v>
      </c>
      <c r="K18">
        <v>4</v>
      </c>
      <c r="L18">
        <v>2</v>
      </c>
      <c r="M18">
        <v>343</v>
      </c>
    </row>
    <row r="19" spans="1:13" x14ac:dyDescent="0.35">
      <c r="A19" s="6">
        <v>45602</v>
      </c>
      <c r="B19" t="s">
        <v>15</v>
      </c>
      <c r="C19" t="s">
        <v>34</v>
      </c>
      <c r="D19" t="s">
        <v>32</v>
      </c>
      <c r="E19">
        <v>16</v>
      </c>
      <c r="F19">
        <v>3785</v>
      </c>
      <c r="G19">
        <v>0</v>
      </c>
      <c r="H19">
        <v>60560</v>
      </c>
      <c r="I19">
        <v>2024</v>
      </c>
      <c r="J19">
        <v>11</v>
      </c>
      <c r="K19">
        <v>4</v>
      </c>
      <c r="L19">
        <v>2</v>
      </c>
      <c r="M19">
        <v>311</v>
      </c>
    </row>
    <row r="20" spans="1:13" x14ac:dyDescent="0.35">
      <c r="A20" s="6">
        <v>45394</v>
      </c>
      <c r="B20" t="s">
        <v>35</v>
      </c>
      <c r="C20" t="s">
        <v>36</v>
      </c>
      <c r="D20" t="s">
        <v>28</v>
      </c>
      <c r="E20">
        <v>11</v>
      </c>
      <c r="F20">
        <v>5025</v>
      </c>
      <c r="G20">
        <v>5</v>
      </c>
      <c r="H20">
        <v>52511</v>
      </c>
      <c r="I20">
        <v>2024</v>
      </c>
      <c r="J20">
        <v>4</v>
      </c>
      <c r="K20">
        <v>2</v>
      </c>
      <c r="L20">
        <v>2</v>
      </c>
      <c r="M20">
        <v>103</v>
      </c>
    </row>
    <row r="21" spans="1:13" x14ac:dyDescent="0.35">
      <c r="A21" s="6">
        <v>45494</v>
      </c>
      <c r="B21" t="s">
        <v>37</v>
      </c>
      <c r="C21" t="s">
        <v>34</v>
      </c>
      <c r="D21" t="s">
        <v>9</v>
      </c>
      <c r="E21">
        <v>6</v>
      </c>
      <c r="F21">
        <v>10042</v>
      </c>
      <c r="G21">
        <v>0</v>
      </c>
      <c r="H21">
        <v>60252</v>
      </c>
      <c r="I21">
        <v>2024</v>
      </c>
      <c r="J21">
        <v>7</v>
      </c>
      <c r="K21">
        <v>3</v>
      </c>
      <c r="L21">
        <v>4</v>
      </c>
      <c r="M21">
        <v>203</v>
      </c>
    </row>
    <row r="22" spans="1:13" x14ac:dyDescent="0.35">
      <c r="A22" s="6">
        <v>45445</v>
      </c>
      <c r="B22" t="s">
        <v>31</v>
      </c>
      <c r="C22" t="s">
        <v>13</v>
      </c>
      <c r="D22" t="s">
        <v>38</v>
      </c>
      <c r="E22">
        <v>17</v>
      </c>
      <c r="F22">
        <v>22568</v>
      </c>
      <c r="G22">
        <v>5</v>
      </c>
      <c r="H22">
        <v>364473</v>
      </c>
      <c r="I22">
        <v>2024</v>
      </c>
      <c r="J22">
        <v>6</v>
      </c>
      <c r="K22">
        <v>2</v>
      </c>
      <c r="L22">
        <v>2</v>
      </c>
      <c r="M22">
        <v>154</v>
      </c>
    </row>
    <row r="23" spans="1:13" x14ac:dyDescent="0.35">
      <c r="A23" s="6">
        <v>45348</v>
      </c>
      <c r="B23" t="s">
        <v>39</v>
      </c>
      <c r="C23" t="s">
        <v>40</v>
      </c>
      <c r="D23" t="s">
        <v>32</v>
      </c>
      <c r="E23">
        <v>10</v>
      </c>
      <c r="F23">
        <v>4693</v>
      </c>
      <c r="G23">
        <v>0</v>
      </c>
      <c r="H23">
        <v>46930</v>
      </c>
      <c r="I23">
        <v>2024</v>
      </c>
      <c r="J23">
        <v>2</v>
      </c>
      <c r="K23">
        <v>1</v>
      </c>
      <c r="L23">
        <v>5</v>
      </c>
      <c r="M23">
        <v>57</v>
      </c>
    </row>
    <row r="24" spans="1:13" x14ac:dyDescent="0.35">
      <c r="A24" s="6">
        <v>45336</v>
      </c>
      <c r="B24" t="s">
        <v>39</v>
      </c>
      <c r="C24" t="s">
        <v>41</v>
      </c>
      <c r="D24" t="s">
        <v>42</v>
      </c>
      <c r="E24">
        <v>12</v>
      </c>
      <c r="F24">
        <v>20551</v>
      </c>
      <c r="G24">
        <v>10</v>
      </c>
      <c r="H24">
        <v>221951</v>
      </c>
      <c r="I24">
        <v>2024</v>
      </c>
      <c r="J24">
        <v>2</v>
      </c>
      <c r="K24">
        <v>1</v>
      </c>
      <c r="L24">
        <v>3</v>
      </c>
      <c r="M24">
        <v>45</v>
      </c>
    </row>
    <row r="25" spans="1:13" x14ac:dyDescent="0.35">
      <c r="A25" s="6">
        <v>45656</v>
      </c>
      <c r="B25" t="s">
        <v>43</v>
      </c>
      <c r="C25" t="s">
        <v>11</v>
      </c>
      <c r="D25" t="s">
        <v>42</v>
      </c>
      <c r="E25">
        <v>19</v>
      </c>
      <c r="F25">
        <v>19626</v>
      </c>
      <c r="G25">
        <v>5</v>
      </c>
      <c r="H25">
        <v>354249</v>
      </c>
      <c r="I25">
        <v>2024</v>
      </c>
      <c r="J25">
        <v>12</v>
      </c>
      <c r="K25">
        <v>4</v>
      </c>
      <c r="L25">
        <v>5</v>
      </c>
      <c r="M25">
        <v>365</v>
      </c>
    </row>
    <row r="26" spans="1:13" x14ac:dyDescent="0.35">
      <c r="A26" s="6">
        <v>45592</v>
      </c>
      <c r="B26" t="s">
        <v>12</v>
      </c>
      <c r="C26" t="s">
        <v>16</v>
      </c>
      <c r="D26" t="s">
        <v>32</v>
      </c>
      <c r="E26">
        <v>13</v>
      </c>
      <c r="F26">
        <v>815</v>
      </c>
      <c r="G26">
        <v>15</v>
      </c>
      <c r="H26">
        <v>9006</v>
      </c>
      <c r="I26">
        <v>2024</v>
      </c>
      <c r="J26">
        <v>10</v>
      </c>
      <c r="K26">
        <v>4</v>
      </c>
      <c r="L26">
        <v>5</v>
      </c>
      <c r="M26">
        <v>301</v>
      </c>
    </row>
    <row r="27" spans="1:13" x14ac:dyDescent="0.35">
      <c r="A27" s="6">
        <v>45404</v>
      </c>
      <c r="B27" t="s">
        <v>44</v>
      </c>
      <c r="C27" t="s">
        <v>34</v>
      </c>
      <c r="D27" t="s">
        <v>23</v>
      </c>
      <c r="E27">
        <v>29</v>
      </c>
      <c r="F27">
        <v>48733</v>
      </c>
      <c r="G27">
        <v>10</v>
      </c>
      <c r="H27">
        <v>1271931</v>
      </c>
      <c r="I27">
        <v>2024</v>
      </c>
      <c r="J27">
        <v>4</v>
      </c>
      <c r="K27">
        <v>2</v>
      </c>
      <c r="L27">
        <v>4</v>
      </c>
      <c r="M27">
        <v>113</v>
      </c>
    </row>
    <row r="28" spans="1:13" x14ac:dyDescent="0.35">
      <c r="A28" s="6">
        <v>45457</v>
      </c>
      <c r="B28" t="s">
        <v>8</v>
      </c>
      <c r="C28" t="s">
        <v>36</v>
      </c>
      <c r="D28" t="s">
        <v>14</v>
      </c>
      <c r="E28">
        <v>1</v>
      </c>
      <c r="F28">
        <v>2351</v>
      </c>
      <c r="G28">
        <v>5</v>
      </c>
      <c r="H28">
        <v>2233</v>
      </c>
      <c r="I28">
        <v>2024</v>
      </c>
      <c r="J28">
        <v>6</v>
      </c>
      <c r="K28">
        <v>2</v>
      </c>
      <c r="L28">
        <v>3</v>
      </c>
      <c r="M28">
        <v>166</v>
      </c>
    </row>
    <row r="29" spans="1:13" x14ac:dyDescent="0.35">
      <c r="A29" s="6">
        <v>45411</v>
      </c>
      <c r="B29" t="s">
        <v>45</v>
      </c>
      <c r="C29" t="s">
        <v>36</v>
      </c>
      <c r="D29" t="s">
        <v>19</v>
      </c>
      <c r="E29">
        <v>4</v>
      </c>
      <c r="F29">
        <v>14508</v>
      </c>
      <c r="G29">
        <v>16</v>
      </c>
      <c r="H29">
        <v>58032</v>
      </c>
      <c r="I29">
        <v>2024</v>
      </c>
      <c r="J29">
        <v>4</v>
      </c>
      <c r="K29">
        <v>2</v>
      </c>
      <c r="L29">
        <v>5</v>
      </c>
      <c r="M29">
        <v>120</v>
      </c>
    </row>
    <row r="30" spans="1:13" x14ac:dyDescent="0.35">
      <c r="A30" s="6">
        <v>45303</v>
      </c>
      <c r="B30" t="s">
        <v>46</v>
      </c>
      <c r="C30" t="s">
        <v>25</v>
      </c>
      <c r="D30" t="s">
        <v>30</v>
      </c>
      <c r="E30">
        <v>3</v>
      </c>
      <c r="F30">
        <v>2830</v>
      </c>
      <c r="G30">
        <v>0</v>
      </c>
      <c r="H30">
        <v>8490</v>
      </c>
      <c r="I30">
        <v>2024</v>
      </c>
      <c r="J30">
        <v>1</v>
      </c>
      <c r="K30">
        <v>1</v>
      </c>
      <c r="L30">
        <v>2</v>
      </c>
      <c r="M30">
        <v>12</v>
      </c>
    </row>
    <row r="31" spans="1:13" x14ac:dyDescent="0.35">
      <c r="A31" s="6">
        <v>45488</v>
      </c>
      <c r="B31" t="s">
        <v>47</v>
      </c>
      <c r="C31" t="s">
        <v>13</v>
      </c>
      <c r="D31" t="s">
        <v>14</v>
      </c>
      <c r="E31">
        <v>20</v>
      </c>
      <c r="F31">
        <v>2913</v>
      </c>
      <c r="G31">
        <v>16</v>
      </c>
      <c r="H31">
        <v>58260</v>
      </c>
      <c r="I31">
        <v>2024</v>
      </c>
      <c r="J31">
        <v>7</v>
      </c>
      <c r="K31">
        <v>3</v>
      </c>
      <c r="L31">
        <v>3</v>
      </c>
      <c r="M31">
        <v>197</v>
      </c>
    </row>
    <row r="32" spans="1:13" x14ac:dyDescent="0.35">
      <c r="A32" s="6">
        <v>45447</v>
      </c>
      <c r="B32" t="s">
        <v>43</v>
      </c>
      <c r="C32" t="s">
        <v>20</v>
      </c>
      <c r="D32" t="s">
        <v>19</v>
      </c>
      <c r="E32">
        <v>23</v>
      </c>
      <c r="F32">
        <v>13198</v>
      </c>
      <c r="G32">
        <v>0</v>
      </c>
      <c r="H32">
        <v>303554</v>
      </c>
      <c r="I32">
        <v>2024</v>
      </c>
      <c r="J32">
        <v>6</v>
      </c>
      <c r="K32">
        <v>2</v>
      </c>
      <c r="L32">
        <v>2</v>
      </c>
      <c r="M32">
        <v>156</v>
      </c>
    </row>
    <row r="33" spans="1:13" x14ac:dyDescent="0.35">
      <c r="A33" s="6">
        <v>45644</v>
      </c>
      <c r="B33" t="s">
        <v>48</v>
      </c>
      <c r="C33" t="s">
        <v>11</v>
      </c>
      <c r="D33" t="s">
        <v>28</v>
      </c>
      <c r="E33">
        <v>27</v>
      </c>
      <c r="F33">
        <v>4026</v>
      </c>
      <c r="G33">
        <v>5</v>
      </c>
      <c r="H33">
        <v>103267</v>
      </c>
      <c r="I33">
        <v>2024</v>
      </c>
      <c r="J33">
        <v>12</v>
      </c>
      <c r="K33">
        <v>4</v>
      </c>
      <c r="L33">
        <v>3</v>
      </c>
      <c r="M33">
        <v>353</v>
      </c>
    </row>
    <row r="34" spans="1:13" x14ac:dyDescent="0.35">
      <c r="A34" s="6">
        <v>45606</v>
      </c>
      <c r="B34" t="s">
        <v>24</v>
      </c>
      <c r="C34" t="s">
        <v>16</v>
      </c>
      <c r="D34" t="s">
        <v>28</v>
      </c>
      <c r="E34">
        <v>20</v>
      </c>
      <c r="F34">
        <v>5343</v>
      </c>
      <c r="G34">
        <v>20</v>
      </c>
      <c r="H34">
        <v>85488</v>
      </c>
      <c r="I34">
        <v>2024</v>
      </c>
      <c r="J34">
        <v>11</v>
      </c>
      <c r="K34">
        <v>4</v>
      </c>
      <c r="L34">
        <v>3</v>
      </c>
      <c r="M34">
        <v>315</v>
      </c>
    </row>
    <row r="35" spans="1:13" x14ac:dyDescent="0.35">
      <c r="A35" s="6">
        <v>45610</v>
      </c>
      <c r="B35" t="s">
        <v>49</v>
      </c>
      <c r="C35" t="s">
        <v>13</v>
      </c>
      <c r="D35" t="s">
        <v>21</v>
      </c>
      <c r="E35">
        <v>2</v>
      </c>
      <c r="F35">
        <v>1768</v>
      </c>
      <c r="G35">
        <v>10</v>
      </c>
      <c r="H35">
        <v>3182</v>
      </c>
      <c r="I35">
        <v>2024</v>
      </c>
      <c r="J35">
        <v>11</v>
      </c>
      <c r="K35">
        <v>4</v>
      </c>
      <c r="L35">
        <v>3</v>
      </c>
      <c r="M35">
        <v>319</v>
      </c>
    </row>
    <row r="36" spans="1:13" x14ac:dyDescent="0.35">
      <c r="A36" s="6">
        <v>45407</v>
      </c>
      <c r="B36" t="s">
        <v>26</v>
      </c>
      <c r="C36" t="s">
        <v>34</v>
      </c>
      <c r="D36" t="s">
        <v>38</v>
      </c>
      <c r="E36">
        <v>15</v>
      </c>
      <c r="F36">
        <v>22691</v>
      </c>
      <c r="G36">
        <v>15</v>
      </c>
      <c r="H36">
        <v>289310</v>
      </c>
      <c r="I36">
        <v>2024</v>
      </c>
      <c r="J36">
        <v>4</v>
      </c>
      <c r="K36">
        <v>2</v>
      </c>
      <c r="L36">
        <v>4</v>
      </c>
      <c r="M36">
        <v>116</v>
      </c>
    </row>
    <row r="37" spans="1:13" x14ac:dyDescent="0.35">
      <c r="A37" s="6">
        <v>45516</v>
      </c>
      <c r="B37" t="s">
        <v>29</v>
      </c>
      <c r="C37" t="s">
        <v>36</v>
      </c>
      <c r="D37" t="s">
        <v>42</v>
      </c>
      <c r="E37">
        <v>16</v>
      </c>
      <c r="F37">
        <v>17695</v>
      </c>
      <c r="G37">
        <v>15</v>
      </c>
      <c r="H37">
        <v>240652</v>
      </c>
      <c r="I37">
        <v>2024</v>
      </c>
      <c r="J37">
        <v>8</v>
      </c>
      <c r="K37">
        <v>3</v>
      </c>
      <c r="L37">
        <v>3</v>
      </c>
      <c r="M37">
        <v>225</v>
      </c>
    </row>
    <row r="38" spans="1:13" x14ac:dyDescent="0.35">
      <c r="A38" s="6">
        <v>45528</v>
      </c>
      <c r="B38" t="s">
        <v>48</v>
      </c>
      <c r="C38" t="s">
        <v>25</v>
      </c>
      <c r="D38" t="s">
        <v>23</v>
      </c>
      <c r="E38">
        <v>13</v>
      </c>
      <c r="F38">
        <v>48880</v>
      </c>
      <c r="G38">
        <v>15</v>
      </c>
      <c r="H38">
        <v>540124</v>
      </c>
      <c r="I38">
        <v>2024</v>
      </c>
      <c r="J38">
        <v>8</v>
      </c>
      <c r="K38">
        <v>3</v>
      </c>
      <c r="L38">
        <v>4</v>
      </c>
      <c r="M38">
        <v>237</v>
      </c>
    </row>
    <row r="39" spans="1:13" x14ac:dyDescent="0.35">
      <c r="A39" s="6">
        <v>45529</v>
      </c>
      <c r="B39" t="s">
        <v>26</v>
      </c>
      <c r="C39" t="s">
        <v>11</v>
      </c>
      <c r="D39" t="s">
        <v>23</v>
      </c>
      <c r="E39">
        <v>22</v>
      </c>
      <c r="F39">
        <v>47036</v>
      </c>
      <c r="G39">
        <v>0</v>
      </c>
      <c r="H39">
        <v>1034792</v>
      </c>
      <c r="I39">
        <v>2024</v>
      </c>
      <c r="J39">
        <v>8</v>
      </c>
      <c r="K39">
        <v>3</v>
      </c>
      <c r="L39">
        <v>5</v>
      </c>
      <c r="M39">
        <v>238</v>
      </c>
    </row>
    <row r="40" spans="1:13" x14ac:dyDescent="0.35">
      <c r="A40" s="6">
        <v>45653</v>
      </c>
      <c r="B40" t="s">
        <v>50</v>
      </c>
      <c r="C40" t="s">
        <v>36</v>
      </c>
      <c r="D40" t="s">
        <v>30</v>
      </c>
      <c r="E40">
        <v>19</v>
      </c>
      <c r="F40">
        <v>3919</v>
      </c>
      <c r="G40">
        <v>16</v>
      </c>
      <c r="H40">
        <v>74461</v>
      </c>
      <c r="I40">
        <v>2024</v>
      </c>
      <c r="J40">
        <v>12</v>
      </c>
      <c r="K40">
        <v>4</v>
      </c>
      <c r="L40">
        <v>4</v>
      </c>
      <c r="M40">
        <v>362</v>
      </c>
    </row>
    <row r="41" spans="1:13" x14ac:dyDescent="0.35">
      <c r="A41" s="6">
        <v>45427</v>
      </c>
      <c r="B41" t="s">
        <v>51</v>
      </c>
      <c r="C41" t="s">
        <v>25</v>
      </c>
      <c r="D41" t="s">
        <v>23</v>
      </c>
      <c r="E41">
        <v>19</v>
      </c>
      <c r="F41">
        <v>48370</v>
      </c>
      <c r="G41">
        <v>16</v>
      </c>
      <c r="H41">
        <v>919030</v>
      </c>
      <c r="I41">
        <v>2024</v>
      </c>
      <c r="J41">
        <v>5</v>
      </c>
      <c r="K41">
        <v>2</v>
      </c>
      <c r="L41">
        <v>3</v>
      </c>
      <c r="M41">
        <v>136</v>
      </c>
    </row>
    <row r="42" spans="1:13" x14ac:dyDescent="0.35">
      <c r="A42" s="6">
        <v>45567</v>
      </c>
      <c r="B42" t="s">
        <v>35</v>
      </c>
      <c r="C42" t="s">
        <v>25</v>
      </c>
      <c r="D42" t="s">
        <v>32</v>
      </c>
      <c r="E42">
        <v>17</v>
      </c>
      <c r="F42">
        <v>2520</v>
      </c>
      <c r="G42">
        <v>16</v>
      </c>
      <c r="H42">
        <v>42840</v>
      </c>
      <c r="I42">
        <v>2024</v>
      </c>
      <c r="J42">
        <v>10</v>
      </c>
      <c r="K42">
        <v>4</v>
      </c>
      <c r="L42">
        <v>1</v>
      </c>
      <c r="M42">
        <v>276</v>
      </c>
    </row>
    <row r="43" spans="1:13" x14ac:dyDescent="0.35">
      <c r="A43" s="6">
        <v>45413</v>
      </c>
      <c r="B43" t="s">
        <v>48</v>
      </c>
      <c r="C43" t="s">
        <v>16</v>
      </c>
      <c r="D43" t="s">
        <v>9</v>
      </c>
      <c r="E43">
        <v>16</v>
      </c>
      <c r="F43">
        <v>6256</v>
      </c>
      <c r="G43">
        <v>0</v>
      </c>
      <c r="H43">
        <v>100096</v>
      </c>
      <c r="I43">
        <v>2024</v>
      </c>
      <c r="J43">
        <v>5</v>
      </c>
      <c r="K43">
        <v>2</v>
      </c>
      <c r="L43">
        <v>1</v>
      </c>
      <c r="M43">
        <v>122</v>
      </c>
    </row>
    <row r="44" spans="1:13" x14ac:dyDescent="0.35">
      <c r="A44" s="6">
        <v>45406</v>
      </c>
      <c r="B44" t="s">
        <v>51</v>
      </c>
      <c r="C44" t="s">
        <v>13</v>
      </c>
      <c r="D44" t="s">
        <v>42</v>
      </c>
      <c r="E44">
        <v>19</v>
      </c>
      <c r="F44">
        <v>18340</v>
      </c>
      <c r="G44">
        <v>16</v>
      </c>
      <c r="H44">
        <v>348460</v>
      </c>
      <c r="I44">
        <v>2024</v>
      </c>
      <c r="J44">
        <v>4</v>
      </c>
      <c r="K44">
        <v>2</v>
      </c>
      <c r="L44">
        <v>4</v>
      </c>
      <c r="M44">
        <v>115</v>
      </c>
    </row>
    <row r="45" spans="1:13" x14ac:dyDescent="0.35">
      <c r="A45" s="6">
        <v>45549</v>
      </c>
      <c r="B45" t="s">
        <v>52</v>
      </c>
      <c r="C45" t="s">
        <v>41</v>
      </c>
      <c r="D45" t="s">
        <v>9</v>
      </c>
      <c r="E45">
        <v>14</v>
      </c>
      <c r="F45">
        <v>10942</v>
      </c>
      <c r="G45">
        <v>0</v>
      </c>
      <c r="H45">
        <v>153188</v>
      </c>
      <c r="I45">
        <v>2024</v>
      </c>
      <c r="J45">
        <v>9</v>
      </c>
      <c r="K45">
        <v>3</v>
      </c>
      <c r="L45">
        <v>2</v>
      </c>
      <c r="M45">
        <v>258</v>
      </c>
    </row>
    <row r="46" spans="1:13" x14ac:dyDescent="0.35">
      <c r="A46" s="6">
        <v>45376</v>
      </c>
      <c r="B46" t="s">
        <v>48</v>
      </c>
      <c r="C46" t="s">
        <v>41</v>
      </c>
      <c r="D46" t="s">
        <v>14</v>
      </c>
      <c r="E46">
        <v>26</v>
      </c>
      <c r="F46">
        <v>2189</v>
      </c>
      <c r="G46">
        <v>0</v>
      </c>
      <c r="H46">
        <v>56914</v>
      </c>
      <c r="I46">
        <v>2024</v>
      </c>
      <c r="J46">
        <v>3</v>
      </c>
      <c r="K46">
        <v>1</v>
      </c>
      <c r="L46">
        <v>5</v>
      </c>
      <c r="M46">
        <v>85</v>
      </c>
    </row>
    <row r="47" spans="1:13" x14ac:dyDescent="0.35">
      <c r="A47" s="6">
        <v>45632</v>
      </c>
      <c r="B47" t="s">
        <v>29</v>
      </c>
      <c r="C47" t="s">
        <v>40</v>
      </c>
      <c r="D47" t="s">
        <v>53</v>
      </c>
      <c r="E47">
        <v>16</v>
      </c>
      <c r="F47">
        <v>168</v>
      </c>
      <c r="G47">
        <v>5</v>
      </c>
      <c r="H47">
        <v>2873</v>
      </c>
      <c r="I47">
        <v>2024</v>
      </c>
      <c r="J47">
        <v>12</v>
      </c>
      <c r="K47">
        <v>4</v>
      </c>
      <c r="L47">
        <v>1</v>
      </c>
      <c r="M47">
        <v>341</v>
      </c>
    </row>
    <row r="48" spans="1:13" x14ac:dyDescent="0.35">
      <c r="A48" s="6">
        <v>45468</v>
      </c>
      <c r="B48" t="s">
        <v>52</v>
      </c>
      <c r="C48" t="s">
        <v>11</v>
      </c>
      <c r="D48" t="s">
        <v>19</v>
      </c>
      <c r="E48">
        <v>16</v>
      </c>
      <c r="F48">
        <v>13987</v>
      </c>
      <c r="G48">
        <v>16</v>
      </c>
      <c r="H48">
        <v>307714</v>
      </c>
      <c r="I48">
        <v>2024</v>
      </c>
      <c r="J48">
        <v>6</v>
      </c>
      <c r="K48">
        <v>2</v>
      </c>
      <c r="L48">
        <v>5</v>
      </c>
      <c r="M48">
        <v>177</v>
      </c>
    </row>
    <row r="49" spans="1:13" x14ac:dyDescent="0.35">
      <c r="A49" s="6">
        <v>45458</v>
      </c>
      <c r="B49" t="s">
        <v>54</v>
      </c>
      <c r="C49" t="s">
        <v>41</v>
      </c>
      <c r="D49" t="s">
        <v>17</v>
      </c>
      <c r="E49">
        <v>13</v>
      </c>
      <c r="F49">
        <v>1525</v>
      </c>
      <c r="G49">
        <v>20</v>
      </c>
      <c r="H49">
        <v>15860</v>
      </c>
      <c r="I49">
        <v>2024</v>
      </c>
      <c r="J49">
        <v>6</v>
      </c>
      <c r="K49">
        <v>2</v>
      </c>
      <c r="L49">
        <v>3</v>
      </c>
      <c r="M49">
        <v>167</v>
      </c>
    </row>
    <row r="50" spans="1:13" x14ac:dyDescent="0.35">
      <c r="A50" s="6">
        <v>45305</v>
      </c>
      <c r="B50" t="s">
        <v>89</v>
      </c>
      <c r="C50" t="s">
        <v>16</v>
      </c>
      <c r="D50" t="s">
        <v>19</v>
      </c>
      <c r="E50">
        <v>14</v>
      </c>
      <c r="F50">
        <v>10912</v>
      </c>
      <c r="G50">
        <v>5</v>
      </c>
      <c r="H50">
        <v>145130</v>
      </c>
      <c r="I50">
        <v>2024</v>
      </c>
      <c r="J50">
        <v>1</v>
      </c>
      <c r="K50">
        <v>1</v>
      </c>
      <c r="L50">
        <v>3</v>
      </c>
      <c r="M50">
        <v>14</v>
      </c>
    </row>
    <row r="51" spans="1:13" x14ac:dyDescent="0.35">
      <c r="A51" s="6">
        <v>45313</v>
      </c>
      <c r="B51" t="s">
        <v>37</v>
      </c>
      <c r="C51" t="s">
        <v>25</v>
      </c>
      <c r="D51" t="s">
        <v>19</v>
      </c>
      <c r="E51">
        <v>30</v>
      </c>
      <c r="F51">
        <v>11376</v>
      </c>
      <c r="G51">
        <v>16</v>
      </c>
      <c r="H51">
        <v>341280</v>
      </c>
      <c r="I51">
        <v>2024</v>
      </c>
      <c r="J51">
        <v>1</v>
      </c>
      <c r="K51">
        <v>1</v>
      </c>
      <c r="L51">
        <v>4</v>
      </c>
      <c r="M51">
        <v>22</v>
      </c>
    </row>
    <row r="52" spans="1:13" x14ac:dyDescent="0.35">
      <c r="A52" s="6">
        <v>45341</v>
      </c>
      <c r="B52" t="s">
        <v>50</v>
      </c>
      <c r="C52" t="s">
        <v>13</v>
      </c>
      <c r="D52" t="s">
        <v>23</v>
      </c>
      <c r="E52">
        <v>11</v>
      </c>
      <c r="F52">
        <v>47234</v>
      </c>
      <c r="G52">
        <v>10</v>
      </c>
      <c r="H52">
        <v>467617</v>
      </c>
      <c r="I52">
        <v>2024</v>
      </c>
      <c r="J52">
        <v>2</v>
      </c>
      <c r="K52">
        <v>1</v>
      </c>
      <c r="L52">
        <v>4</v>
      </c>
      <c r="M52">
        <v>50</v>
      </c>
    </row>
    <row r="53" spans="1:13" x14ac:dyDescent="0.35">
      <c r="A53" s="6">
        <v>45399</v>
      </c>
      <c r="B53" t="s">
        <v>15</v>
      </c>
      <c r="C53" t="s">
        <v>20</v>
      </c>
      <c r="D53" t="s">
        <v>21</v>
      </c>
      <c r="E53">
        <v>10</v>
      </c>
      <c r="F53">
        <v>395</v>
      </c>
      <c r="G53">
        <v>15</v>
      </c>
      <c r="H53">
        <v>3358</v>
      </c>
      <c r="I53">
        <v>2024</v>
      </c>
      <c r="J53">
        <v>4</v>
      </c>
      <c r="K53">
        <v>2</v>
      </c>
      <c r="L53">
        <v>3</v>
      </c>
      <c r="M53">
        <v>108</v>
      </c>
    </row>
    <row r="54" spans="1:13" x14ac:dyDescent="0.35">
      <c r="A54" s="6">
        <v>45348</v>
      </c>
      <c r="B54" t="s">
        <v>33</v>
      </c>
      <c r="C54" t="s">
        <v>36</v>
      </c>
      <c r="D54" t="s">
        <v>38</v>
      </c>
      <c r="E54">
        <v>19</v>
      </c>
      <c r="F54">
        <v>27349</v>
      </c>
      <c r="G54">
        <v>10</v>
      </c>
      <c r="H54">
        <v>467668</v>
      </c>
      <c r="I54">
        <v>2024</v>
      </c>
      <c r="J54">
        <v>2</v>
      </c>
      <c r="K54">
        <v>1</v>
      </c>
      <c r="L54">
        <v>5</v>
      </c>
      <c r="M54">
        <v>57</v>
      </c>
    </row>
    <row r="55" spans="1:13" x14ac:dyDescent="0.35">
      <c r="A55" s="6">
        <v>45358</v>
      </c>
      <c r="B55" t="s">
        <v>44</v>
      </c>
      <c r="C55" t="s">
        <v>20</v>
      </c>
      <c r="D55" t="s">
        <v>17</v>
      </c>
      <c r="E55">
        <v>8</v>
      </c>
      <c r="F55">
        <v>5091</v>
      </c>
      <c r="G55">
        <v>0</v>
      </c>
      <c r="H55">
        <v>51976</v>
      </c>
      <c r="I55">
        <v>2024</v>
      </c>
      <c r="J55">
        <v>3</v>
      </c>
      <c r="K55">
        <v>1</v>
      </c>
      <c r="L55">
        <v>2</v>
      </c>
      <c r="M55">
        <v>67</v>
      </c>
    </row>
    <row r="56" spans="1:13" x14ac:dyDescent="0.35">
      <c r="A56" s="6">
        <v>45452</v>
      </c>
      <c r="B56" t="s">
        <v>47</v>
      </c>
      <c r="C56" t="s">
        <v>89</v>
      </c>
      <c r="D56" t="s">
        <v>32</v>
      </c>
      <c r="E56">
        <v>12</v>
      </c>
      <c r="F56">
        <v>193</v>
      </c>
      <c r="G56">
        <v>15</v>
      </c>
      <c r="H56">
        <v>1969</v>
      </c>
      <c r="I56">
        <v>2024</v>
      </c>
      <c r="J56">
        <v>6</v>
      </c>
      <c r="K56">
        <v>2</v>
      </c>
      <c r="L56">
        <v>3</v>
      </c>
      <c r="M56">
        <v>161</v>
      </c>
    </row>
    <row r="57" spans="1:13" x14ac:dyDescent="0.35">
      <c r="A57" s="6">
        <v>45424</v>
      </c>
      <c r="B57" t="s">
        <v>50</v>
      </c>
      <c r="C57" t="s">
        <v>34</v>
      </c>
      <c r="D57" t="s">
        <v>14</v>
      </c>
      <c r="E57">
        <v>9</v>
      </c>
      <c r="F57">
        <v>501</v>
      </c>
      <c r="G57">
        <v>20</v>
      </c>
      <c r="H57">
        <v>3607</v>
      </c>
      <c r="I57">
        <v>2024</v>
      </c>
      <c r="J57">
        <v>5</v>
      </c>
      <c r="K57">
        <v>2</v>
      </c>
      <c r="L57">
        <v>3</v>
      </c>
      <c r="M57">
        <v>133</v>
      </c>
    </row>
    <row r="58" spans="1:13" x14ac:dyDescent="0.35">
      <c r="A58" s="6">
        <v>45403</v>
      </c>
      <c r="B58" t="s">
        <v>27</v>
      </c>
      <c r="C58" t="s">
        <v>11</v>
      </c>
      <c r="D58" t="s">
        <v>42</v>
      </c>
      <c r="E58">
        <v>16</v>
      </c>
      <c r="F58">
        <v>17803</v>
      </c>
      <c r="G58">
        <v>20</v>
      </c>
      <c r="H58">
        <v>384545</v>
      </c>
      <c r="I58">
        <v>2024</v>
      </c>
      <c r="J58">
        <v>4</v>
      </c>
      <c r="K58">
        <v>2</v>
      </c>
      <c r="L58">
        <v>4</v>
      </c>
      <c r="M58">
        <v>112</v>
      </c>
    </row>
    <row r="59" spans="1:13" x14ac:dyDescent="0.35">
      <c r="A59" s="6">
        <v>45351</v>
      </c>
      <c r="B59" t="s">
        <v>39</v>
      </c>
      <c r="C59" t="s">
        <v>25</v>
      </c>
      <c r="D59" t="s">
        <v>28</v>
      </c>
      <c r="E59">
        <v>15</v>
      </c>
      <c r="F59">
        <v>5056</v>
      </c>
      <c r="G59">
        <v>10</v>
      </c>
      <c r="H59">
        <v>68256</v>
      </c>
      <c r="I59">
        <v>2024</v>
      </c>
      <c r="J59">
        <v>2</v>
      </c>
      <c r="K59">
        <v>1</v>
      </c>
      <c r="L59">
        <v>5</v>
      </c>
      <c r="M59">
        <v>60</v>
      </c>
    </row>
    <row r="60" spans="1:13" x14ac:dyDescent="0.35">
      <c r="A60" s="6">
        <v>45537</v>
      </c>
      <c r="B60" t="s">
        <v>48</v>
      </c>
      <c r="C60" t="s">
        <v>11</v>
      </c>
      <c r="D60" t="s">
        <v>28</v>
      </c>
      <c r="E60">
        <v>13</v>
      </c>
      <c r="F60">
        <v>2770</v>
      </c>
      <c r="G60">
        <v>20</v>
      </c>
      <c r="H60">
        <v>28808</v>
      </c>
      <c r="I60">
        <v>2024</v>
      </c>
      <c r="J60">
        <v>9</v>
      </c>
      <c r="K60">
        <v>3</v>
      </c>
      <c r="L60">
        <v>1</v>
      </c>
      <c r="M60">
        <v>246</v>
      </c>
    </row>
    <row r="61" spans="1:13" x14ac:dyDescent="0.35">
      <c r="A61" s="6">
        <v>45608</v>
      </c>
      <c r="B61" t="s">
        <v>52</v>
      </c>
      <c r="C61" t="s">
        <v>40</v>
      </c>
      <c r="D61" t="s">
        <v>42</v>
      </c>
      <c r="E61">
        <v>27</v>
      </c>
      <c r="F61">
        <v>17209</v>
      </c>
      <c r="G61">
        <v>15</v>
      </c>
      <c r="H61">
        <v>394947</v>
      </c>
      <c r="I61">
        <v>2024</v>
      </c>
      <c r="J61">
        <v>11</v>
      </c>
      <c r="K61">
        <v>4</v>
      </c>
      <c r="L61">
        <v>3</v>
      </c>
      <c r="M61">
        <v>317</v>
      </c>
    </row>
    <row r="62" spans="1:13" x14ac:dyDescent="0.35">
      <c r="A62" s="6">
        <v>45651</v>
      </c>
      <c r="B62" t="s">
        <v>54</v>
      </c>
      <c r="C62" t="s">
        <v>34</v>
      </c>
      <c r="D62" t="s">
        <v>30</v>
      </c>
      <c r="E62">
        <v>28</v>
      </c>
      <c r="F62">
        <v>3177</v>
      </c>
      <c r="G62">
        <v>20</v>
      </c>
      <c r="H62">
        <v>71165</v>
      </c>
      <c r="I62">
        <v>2024</v>
      </c>
      <c r="J62">
        <v>12</v>
      </c>
      <c r="K62">
        <v>4</v>
      </c>
      <c r="L62">
        <v>4</v>
      </c>
      <c r="M62">
        <v>360</v>
      </c>
    </row>
    <row r="63" spans="1:13" x14ac:dyDescent="0.35">
      <c r="A63" s="6">
        <v>45654</v>
      </c>
      <c r="B63" t="s">
        <v>35</v>
      </c>
      <c r="C63" t="s">
        <v>41</v>
      </c>
      <c r="D63" t="s">
        <v>17</v>
      </c>
      <c r="E63">
        <v>16</v>
      </c>
      <c r="F63">
        <v>5091</v>
      </c>
      <c r="G63">
        <v>20</v>
      </c>
      <c r="H63">
        <v>65165</v>
      </c>
      <c r="I63">
        <v>2024</v>
      </c>
      <c r="J63">
        <v>12</v>
      </c>
      <c r="K63">
        <v>4</v>
      </c>
      <c r="L63">
        <v>4</v>
      </c>
      <c r="M63">
        <v>363</v>
      </c>
    </row>
    <row r="64" spans="1:13" x14ac:dyDescent="0.35">
      <c r="A64" s="6">
        <v>45440</v>
      </c>
      <c r="B64" t="s">
        <v>48</v>
      </c>
      <c r="C64" t="s">
        <v>20</v>
      </c>
      <c r="D64" t="s">
        <v>30</v>
      </c>
      <c r="E64">
        <v>19</v>
      </c>
      <c r="F64">
        <v>4436</v>
      </c>
      <c r="G64">
        <v>15</v>
      </c>
      <c r="H64">
        <v>71641</v>
      </c>
      <c r="I64">
        <v>2024</v>
      </c>
      <c r="J64">
        <v>5</v>
      </c>
      <c r="K64">
        <v>2</v>
      </c>
      <c r="L64">
        <v>5</v>
      </c>
      <c r="M64">
        <v>149</v>
      </c>
    </row>
    <row r="65" spans="1:13" x14ac:dyDescent="0.35">
      <c r="A65" s="6">
        <v>45623</v>
      </c>
      <c r="B65" t="s">
        <v>47</v>
      </c>
      <c r="C65" t="s">
        <v>89</v>
      </c>
      <c r="D65" t="s">
        <v>38</v>
      </c>
      <c r="E65">
        <v>21</v>
      </c>
      <c r="F65">
        <v>26582</v>
      </c>
      <c r="G65">
        <v>10</v>
      </c>
      <c r="H65">
        <v>502400</v>
      </c>
      <c r="I65">
        <v>2024</v>
      </c>
      <c r="J65">
        <v>11</v>
      </c>
      <c r="K65">
        <v>4</v>
      </c>
      <c r="L65">
        <v>5</v>
      </c>
      <c r="M65">
        <v>332</v>
      </c>
    </row>
    <row r="66" spans="1:13" x14ac:dyDescent="0.35">
      <c r="A66" s="6">
        <v>45523</v>
      </c>
      <c r="B66" t="s">
        <v>55</v>
      </c>
      <c r="C66" t="s">
        <v>11</v>
      </c>
      <c r="D66" t="s">
        <v>19</v>
      </c>
      <c r="E66">
        <v>18</v>
      </c>
      <c r="F66">
        <v>14629</v>
      </c>
      <c r="G66">
        <v>5</v>
      </c>
      <c r="H66">
        <v>250156</v>
      </c>
      <c r="I66">
        <v>2024</v>
      </c>
      <c r="J66">
        <v>8</v>
      </c>
      <c r="K66">
        <v>3</v>
      </c>
      <c r="L66">
        <v>4</v>
      </c>
      <c r="M66">
        <v>232</v>
      </c>
    </row>
    <row r="67" spans="1:13" x14ac:dyDescent="0.35">
      <c r="A67" s="6">
        <v>45501</v>
      </c>
      <c r="B67" t="s">
        <v>33</v>
      </c>
      <c r="C67" t="s">
        <v>11</v>
      </c>
      <c r="D67" t="s">
        <v>53</v>
      </c>
      <c r="E67">
        <v>21</v>
      </c>
      <c r="F67">
        <v>167</v>
      </c>
      <c r="G67">
        <v>20</v>
      </c>
      <c r="H67">
        <v>2806</v>
      </c>
      <c r="I67">
        <v>2024</v>
      </c>
      <c r="J67">
        <v>7</v>
      </c>
      <c r="K67">
        <v>3</v>
      </c>
      <c r="L67">
        <v>5</v>
      </c>
      <c r="M67">
        <v>210</v>
      </c>
    </row>
    <row r="68" spans="1:13" x14ac:dyDescent="0.35">
      <c r="A68" s="6">
        <v>45329</v>
      </c>
      <c r="B68" t="s">
        <v>55</v>
      </c>
      <c r="C68" t="s">
        <v>36</v>
      </c>
      <c r="D68" t="s">
        <v>53</v>
      </c>
      <c r="E68">
        <v>24</v>
      </c>
      <c r="F68">
        <v>3205</v>
      </c>
      <c r="G68">
        <v>0</v>
      </c>
      <c r="H68">
        <v>76920</v>
      </c>
      <c r="I68">
        <v>2024</v>
      </c>
      <c r="J68">
        <v>2</v>
      </c>
      <c r="K68">
        <v>1</v>
      </c>
      <c r="L68">
        <v>2</v>
      </c>
      <c r="M68">
        <v>38</v>
      </c>
    </row>
    <row r="69" spans="1:13" x14ac:dyDescent="0.35">
      <c r="A69" s="6">
        <v>45370</v>
      </c>
      <c r="B69" t="s">
        <v>18</v>
      </c>
      <c r="C69" t="s">
        <v>89</v>
      </c>
      <c r="D69" t="s">
        <v>21</v>
      </c>
      <c r="E69">
        <v>16</v>
      </c>
      <c r="F69">
        <v>3431</v>
      </c>
      <c r="G69">
        <v>5</v>
      </c>
      <c r="H69">
        <v>48892</v>
      </c>
      <c r="I69">
        <v>2024</v>
      </c>
      <c r="J69">
        <v>3</v>
      </c>
      <c r="K69">
        <v>1</v>
      </c>
      <c r="L69">
        <v>4</v>
      </c>
      <c r="M69">
        <v>79</v>
      </c>
    </row>
    <row r="70" spans="1:13" x14ac:dyDescent="0.35">
      <c r="A70" s="6">
        <v>45492</v>
      </c>
      <c r="B70" t="s">
        <v>24</v>
      </c>
      <c r="C70" t="s">
        <v>16</v>
      </c>
      <c r="D70" t="s">
        <v>9</v>
      </c>
      <c r="E70">
        <v>1</v>
      </c>
      <c r="F70">
        <v>10667</v>
      </c>
      <c r="G70">
        <v>15</v>
      </c>
      <c r="H70">
        <v>9067</v>
      </c>
      <c r="I70">
        <v>2024</v>
      </c>
      <c r="J70">
        <v>7</v>
      </c>
      <c r="K70">
        <v>3</v>
      </c>
      <c r="L70">
        <v>3</v>
      </c>
      <c r="M70">
        <v>201</v>
      </c>
    </row>
    <row r="71" spans="1:13" x14ac:dyDescent="0.35">
      <c r="A71" s="6">
        <v>45476</v>
      </c>
      <c r="B71" t="s">
        <v>29</v>
      </c>
      <c r="C71" t="s">
        <v>16</v>
      </c>
      <c r="D71" t="s">
        <v>38</v>
      </c>
      <c r="E71">
        <v>24</v>
      </c>
      <c r="F71">
        <v>23890</v>
      </c>
      <c r="G71">
        <v>20</v>
      </c>
      <c r="H71">
        <v>458688</v>
      </c>
      <c r="I71">
        <v>2024</v>
      </c>
      <c r="J71">
        <v>7</v>
      </c>
      <c r="K71">
        <v>3</v>
      </c>
      <c r="L71">
        <v>1</v>
      </c>
      <c r="M71">
        <v>185</v>
      </c>
    </row>
    <row r="72" spans="1:13" x14ac:dyDescent="0.35">
      <c r="A72" s="6">
        <v>45296</v>
      </c>
      <c r="B72" t="s">
        <v>47</v>
      </c>
      <c r="C72" t="s">
        <v>20</v>
      </c>
      <c r="D72" t="s">
        <v>42</v>
      </c>
      <c r="E72">
        <v>26</v>
      </c>
      <c r="F72">
        <v>22320</v>
      </c>
      <c r="G72">
        <v>0</v>
      </c>
      <c r="H72">
        <v>580320</v>
      </c>
      <c r="I72">
        <v>2024</v>
      </c>
      <c r="J72">
        <v>1</v>
      </c>
      <c r="K72">
        <v>1</v>
      </c>
      <c r="L72">
        <v>1</v>
      </c>
      <c r="M72">
        <v>5</v>
      </c>
    </row>
    <row r="73" spans="1:13" x14ac:dyDescent="0.35">
      <c r="A73" s="6">
        <v>45540</v>
      </c>
      <c r="B73" t="s">
        <v>49</v>
      </c>
      <c r="C73" t="s">
        <v>11</v>
      </c>
      <c r="D73" t="s">
        <v>21</v>
      </c>
      <c r="E73">
        <v>29</v>
      </c>
      <c r="F73">
        <v>723</v>
      </c>
      <c r="G73">
        <v>20</v>
      </c>
      <c r="H73">
        <v>16774</v>
      </c>
      <c r="I73">
        <v>2024</v>
      </c>
      <c r="J73">
        <v>9</v>
      </c>
      <c r="K73">
        <v>3</v>
      </c>
      <c r="L73">
        <v>1</v>
      </c>
      <c r="M73">
        <v>249</v>
      </c>
    </row>
    <row r="74" spans="1:13" x14ac:dyDescent="0.35">
      <c r="A74" s="6">
        <v>45560</v>
      </c>
      <c r="B74" t="s">
        <v>8</v>
      </c>
      <c r="C74" t="s">
        <v>20</v>
      </c>
      <c r="D74" t="s">
        <v>19</v>
      </c>
      <c r="E74">
        <v>16</v>
      </c>
      <c r="F74">
        <v>9958</v>
      </c>
      <c r="G74">
        <v>16</v>
      </c>
      <c r="H74">
        <v>19916</v>
      </c>
      <c r="I74">
        <v>2024</v>
      </c>
      <c r="J74">
        <v>9</v>
      </c>
      <c r="K74">
        <v>3</v>
      </c>
      <c r="L74">
        <v>4</v>
      </c>
      <c r="M74">
        <v>269</v>
      </c>
    </row>
    <row r="75" spans="1:13" x14ac:dyDescent="0.35">
      <c r="A75" s="6">
        <v>45364</v>
      </c>
      <c r="B75" t="s">
        <v>27</v>
      </c>
      <c r="C75" t="s">
        <v>20</v>
      </c>
      <c r="D75" t="s">
        <v>17</v>
      </c>
      <c r="E75">
        <v>15</v>
      </c>
      <c r="F75">
        <v>5441</v>
      </c>
      <c r="G75">
        <v>5</v>
      </c>
      <c r="H75">
        <v>77534</v>
      </c>
      <c r="I75">
        <v>2024</v>
      </c>
      <c r="J75">
        <v>3</v>
      </c>
      <c r="K75">
        <v>1</v>
      </c>
      <c r="L75">
        <v>3</v>
      </c>
      <c r="M75">
        <v>73</v>
      </c>
    </row>
    <row r="76" spans="1:13" x14ac:dyDescent="0.35">
      <c r="A76" s="6">
        <v>45592</v>
      </c>
      <c r="B76" t="s">
        <v>89</v>
      </c>
      <c r="C76" t="s">
        <v>13</v>
      </c>
      <c r="D76" t="s">
        <v>53</v>
      </c>
      <c r="E76">
        <v>16</v>
      </c>
      <c r="F76">
        <v>433</v>
      </c>
      <c r="G76">
        <v>10</v>
      </c>
      <c r="H76">
        <v>11691</v>
      </c>
      <c r="I76">
        <v>2024</v>
      </c>
      <c r="J76">
        <v>10</v>
      </c>
      <c r="K76">
        <v>4</v>
      </c>
      <c r="L76">
        <v>5</v>
      </c>
      <c r="M76">
        <v>301</v>
      </c>
    </row>
    <row r="77" spans="1:13" x14ac:dyDescent="0.35">
      <c r="A77" s="6">
        <v>45394</v>
      </c>
      <c r="B77" t="s">
        <v>54</v>
      </c>
      <c r="C77" t="s">
        <v>34</v>
      </c>
      <c r="D77" t="s">
        <v>53</v>
      </c>
      <c r="E77">
        <v>16</v>
      </c>
      <c r="F77">
        <v>2227</v>
      </c>
      <c r="G77">
        <v>16</v>
      </c>
      <c r="H77">
        <v>66810</v>
      </c>
      <c r="I77">
        <v>2024</v>
      </c>
      <c r="J77">
        <v>4</v>
      </c>
      <c r="K77">
        <v>2</v>
      </c>
      <c r="L77">
        <v>2</v>
      </c>
      <c r="M77">
        <v>103</v>
      </c>
    </row>
    <row r="78" spans="1:13" x14ac:dyDescent="0.35">
      <c r="A78" s="6">
        <v>45548</v>
      </c>
      <c r="B78" t="s">
        <v>27</v>
      </c>
      <c r="C78" t="s">
        <v>41</v>
      </c>
      <c r="D78" t="s">
        <v>21</v>
      </c>
      <c r="E78">
        <v>15</v>
      </c>
      <c r="F78">
        <v>4601</v>
      </c>
      <c r="G78">
        <v>20</v>
      </c>
      <c r="H78">
        <v>55212</v>
      </c>
      <c r="I78">
        <v>2024</v>
      </c>
      <c r="J78">
        <v>9</v>
      </c>
      <c r="K78">
        <v>3</v>
      </c>
      <c r="L78">
        <v>2</v>
      </c>
      <c r="M78">
        <v>257</v>
      </c>
    </row>
    <row r="79" spans="1:13" x14ac:dyDescent="0.35">
      <c r="A79" s="6">
        <v>45574</v>
      </c>
      <c r="B79" t="s">
        <v>43</v>
      </c>
      <c r="C79" t="s">
        <v>25</v>
      </c>
      <c r="D79" t="s">
        <v>38</v>
      </c>
      <c r="E79">
        <v>3</v>
      </c>
      <c r="F79">
        <v>25995</v>
      </c>
      <c r="G79">
        <v>20</v>
      </c>
      <c r="H79">
        <v>62388</v>
      </c>
      <c r="I79">
        <v>2024</v>
      </c>
      <c r="J79">
        <v>10</v>
      </c>
      <c r="K79">
        <v>4</v>
      </c>
      <c r="L79">
        <v>2</v>
      </c>
      <c r="M79">
        <v>283</v>
      </c>
    </row>
    <row r="80" spans="1:13" x14ac:dyDescent="0.35">
      <c r="A80" s="6">
        <v>45606</v>
      </c>
      <c r="B80" t="s">
        <v>35</v>
      </c>
      <c r="C80" t="s">
        <v>20</v>
      </c>
      <c r="D80" t="s">
        <v>53</v>
      </c>
      <c r="E80">
        <v>18</v>
      </c>
      <c r="F80">
        <v>2124</v>
      </c>
      <c r="G80">
        <v>16</v>
      </c>
      <c r="H80">
        <v>38232</v>
      </c>
      <c r="I80">
        <v>2024</v>
      </c>
      <c r="J80">
        <v>11</v>
      </c>
      <c r="K80">
        <v>4</v>
      </c>
      <c r="L80">
        <v>3</v>
      </c>
      <c r="M80">
        <v>315</v>
      </c>
    </row>
    <row r="81" spans="1:13" x14ac:dyDescent="0.35">
      <c r="A81" s="6">
        <v>45592</v>
      </c>
      <c r="B81" t="s">
        <v>49</v>
      </c>
      <c r="C81" t="s">
        <v>20</v>
      </c>
      <c r="D81" t="s">
        <v>53</v>
      </c>
      <c r="E81">
        <v>24</v>
      </c>
      <c r="F81">
        <v>2211</v>
      </c>
      <c r="G81">
        <v>0</v>
      </c>
      <c r="H81">
        <v>53064</v>
      </c>
      <c r="I81">
        <v>2024</v>
      </c>
      <c r="J81">
        <v>10</v>
      </c>
      <c r="K81">
        <v>4</v>
      </c>
      <c r="L81">
        <v>5</v>
      </c>
      <c r="M81">
        <v>301</v>
      </c>
    </row>
    <row r="82" spans="1:13" x14ac:dyDescent="0.35">
      <c r="A82" s="6">
        <v>45339</v>
      </c>
      <c r="B82" t="s">
        <v>26</v>
      </c>
      <c r="C82" t="s">
        <v>16</v>
      </c>
      <c r="D82" t="s">
        <v>17</v>
      </c>
      <c r="E82">
        <v>13</v>
      </c>
      <c r="F82">
        <v>4302</v>
      </c>
      <c r="G82">
        <v>20</v>
      </c>
      <c r="H82">
        <v>44741</v>
      </c>
      <c r="I82">
        <v>2024</v>
      </c>
      <c r="J82">
        <v>2</v>
      </c>
      <c r="K82">
        <v>1</v>
      </c>
      <c r="L82">
        <v>3</v>
      </c>
      <c r="M82">
        <v>48</v>
      </c>
    </row>
    <row r="83" spans="1:13" x14ac:dyDescent="0.35">
      <c r="A83" s="6">
        <v>45654</v>
      </c>
      <c r="B83" t="s">
        <v>27</v>
      </c>
      <c r="C83" t="s">
        <v>41</v>
      </c>
      <c r="D83" t="s">
        <v>9</v>
      </c>
      <c r="E83">
        <v>11</v>
      </c>
      <c r="F83">
        <v>8959</v>
      </c>
      <c r="G83">
        <v>15</v>
      </c>
      <c r="H83">
        <v>83767</v>
      </c>
      <c r="I83">
        <v>2024</v>
      </c>
      <c r="J83">
        <v>12</v>
      </c>
      <c r="K83">
        <v>4</v>
      </c>
      <c r="L83">
        <v>4</v>
      </c>
      <c r="M83">
        <v>363</v>
      </c>
    </row>
    <row r="84" spans="1:13" x14ac:dyDescent="0.35">
      <c r="A84" s="6">
        <v>45398</v>
      </c>
      <c r="B84" t="s">
        <v>50</v>
      </c>
      <c r="C84" t="s">
        <v>34</v>
      </c>
      <c r="D84" t="s">
        <v>19</v>
      </c>
      <c r="E84">
        <v>6</v>
      </c>
      <c r="F84">
        <v>11006</v>
      </c>
      <c r="G84">
        <v>5</v>
      </c>
      <c r="H84">
        <v>62734</v>
      </c>
      <c r="I84">
        <v>2024</v>
      </c>
      <c r="J84">
        <v>4</v>
      </c>
      <c r="K84">
        <v>2</v>
      </c>
      <c r="L84">
        <v>3</v>
      </c>
      <c r="M84">
        <v>107</v>
      </c>
    </row>
    <row r="85" spans="1:13" x14ac:dyDescent="0.35">
      <c r="A85" s="6">
        <v>45319</v>
      </c>
      <c r="B85" t="s">
        <v>56</v>
      </c>
      <c r="C85" t="s">
        <v>20</v>
      </c>
      <c r="D85" t="s">
        <v>14</v>
      </c>
      <c r="E85">
        <v>6</v>
      </c>
      <c r="F85">
        <v>3643</v>
      </c>
      <c r="G85">
        <v>20</v>
      </c>
      <c r="H85">
        <v>17486</v>
      </c>
      <c r="I85">
        <v>2024</v>
      </c>
      <c r="J85">
        <v>1</v>
      </c>
      <c r="K85">
        <v>1</v>
      </c>
      <c r="L85">
        <v>5</v>
      </c>
      <c r="M85">
        <v>28</v>
      </c>
    </row>
    <row r="86" spans="1:13" x14ac:dyDescent="0.35">
      <c r="A86" s="6">
        <v>45634</v>
      </c>
      <c r="B86" t="s">
        <v>8</v>
      </c>
      <c r="C86" t="s">
        <v>34</v>
      </c>
      <c r="D86" t="s">
        <v>21</v>
      </c>
      <c r="E86">
        <v>16</v>
      </c>
      <c r="F86">
        <v>335</v>
      </c>
      <c r="G86">
        <v>15</v>
      </c>
      <c r="H86">
        <v>8258</v>
      </c>
      <c r="I86">
        <v>2024</v>
      </c>
      <c r="J86">
        <v>12</v>
      </c>
      <c r="K86">
        <v>4</v>
      </c>
      <c r="L86">
        <v>2</v>
      </c>
      <c r="M86">
        <v>343</v>
      </c>
    </row>
    <row r="87" spans="1:13" x14ac:dyDescent="0.35">
      <c r="A87" s="6">
        <v>45594</v>
      </c>
      <c r="B87" t="s">
        <v>15</v>
      </c>
      <c r="C87" t="s">
        <v>11</v>
      </c>
      <c r="D87" t="s">
        <v>21</v>
      </c>
      <c r="E87">
        <v>24</v>
      </c>
      <c r="F87">
        <v>5318</v>
      </c>
      <c r="G87">
        <v>10</v>
      </c>
      <c r="H87">
        <v>114869</v>
      </c>
      <c r="I87">
        <v>2024</v>
      </c>
      <c r="J87">
        <v>10</v>
      </c>
      <c r="K87">
        <v>4</v>
      </c>
      <c r="L87">
        <v>5</v>
      </c>
      <c r="M87">
        <v>303</v>
      </c>
    </row>
    <row r="88" spans="1:13" x14ac:dyDescent="0.35">
      <c r="A88" s="6">
        <v>45382</v>
      </c>
      <c r="B88" t="s">
        <v>24</v>
      </c>
      <c r="C88" t="s">
        <v>41</v>
      </c>
      <c r="D88" t="s">
        <v>28</v>
      </c>
      <c r="E88">
        <v>30</v>
      </c>
      <c r="F88">
        <v>5932</v>
      </c>
      <c r="G88">
        <v>16</v>
      </c>
      <c r="H88">
        <v>177960</v>
      </c>
      <c r="I88">
        <v>2024</v>
      </c>
      <c r="J88">
        <v>3</v>
      </c>
      <c r="K88">
        <v>1</v>
      </c>
      <c r="L88">
        <v>6</v>
      </c>
      <c r="M88">
        <v>91</v>
      </c>
    </row>
    <row r="89" spans="1:13" x14ac:dyDescent="0.35">
      <c r="A89" s="6">
        <v>45497</v>
      </c>
      <c r="B89" t="s">
        <v>39</v>
      </c>
      <c r="C89" t="s">
        <v>20</v>
      </c>
      <c r="D89" t="s">
        <v>28</v>
      </c>
      <c r="E89">
        <v>6</v>
      </c>
      <c r="F89">
        <v>1172</v>
      </c>
      <c r="G89">
        <v>0</v>
      </c>
      <c r="H89">
        <v>7032</v>
      </c>
      <c r="I89">
        <v>2024</v>
      </c>
      <c r="J89">
        <v>7</v>
      </c>
      <c r="K89">
        <v>3</v>
      </c>
      <c r="L89">
        <v>4</v>
      </c>
      <c r="M89">
        <v>206</v>
      </c>
    </row>
    <row r="90" spans="1:13" x14ac:dyDescent="0.35">
      <c r="A90" s="6">
        <v>45555</v>
      </c>
      <c r="B90" t="s">
        <v>46</v>
      </c>
      <c r="C90" t="s">
        <v>34</v>
      </c>
      <c r="D90" t="s">
        <v>23</v>
      </c>
      <c r="E90">
        <v>15</v>
      </c>
      <c r="F90">
        <v>52533</v>
      </c>
      <c r="G90">
        <v>10</v>
      </c>
      <c r="H90">
        <v>709196</v>
      </c>
      <c r="I90">
        <v>2024</v>
      </c>
      <c r="J90">
        <v>9</v>
      </c>
      <c r="K90">
        <v>3</v>
      </c>
      <c r="L90">
        <v>3</v>
      </c>
      <c r="M90">
        <v>264</v>
      </c>
    </row>
    <row r="91" spans="1:13" x14ac:dyDescent="0.35">
      <c r="A91" s="6">
        <v>45476</v>
      </c>
      <c r="B91" t="s">
        <v>24</v>
      </c>
      <c r="C91" t="s">
        <v>13</v>
      </c>
      <c r="D91" t="s">
        <v>9</v>
      </c>
      <c r="E91">
        <v>11</v>
      </c>
      <c r="F91">
        <v>9705</v>
      </c>
      <c r="G91">
        <v>15</v>
      </c>
      <c r="H91">
        <v>90742</v>
      </c>
      <c r="I91">
        <v>2024</v>
      </c>
      <c r="J91">
        <v>7</v>
      </c>
      <c r="K91">
        <v>3</v>
      </c>
      <c r="L91">
        <v>1</v>
      </c>
      <c r="M91">
        <v>185</v>
      </c>
    </row>
    <row r="92" spans="1:13" x14ac:dyDescent="0.35">
      <c r="A92" s="6">
        <v>45373</v>
      </c>
      <c r="B92" t="s">
        <v>39</v>
      </c>
      <c r="C92" t="s">
        <v>25</v>
      </c>
      <c r="D92" t="s">
        <v>53</v>
      </c>
      <c r="E92">
        <v>23</v>
      </c>
      <c r="F92">
        <v>44</v>
      </c>
      <c r="G92">
        <v>10</v>
      </c>
      <c r="H92">
        <v>911</v>
      </c>
      <c r="I92">
        <v>2024</v>
      </c>
      <c r="J92">
        <v>3</v>
      </c>
      <c r="K92">
        <v>1</v>
      </c>
      <c r="L92">
        <v>4</v>
      </c>
      <c r="M92">
        <v>82</v>
      </c>
    </row>
    <row r="93" spans="1:13" x14ac:dyDescent="0.35">
      <c r="A93" s="6">
        <v>45596</v>
      </c>
      <c r="B93" t="s">
        <v>27</v>
      </c>
      <c r="C93" t="s">
        <v>40</v>
      </c>
      <c r="D93" t="s">
        <v>19</v>
      </c>
      <c r="E93">
        <v>14</v>
      </c>
      <c r="F93">
        <v>11614</v>
      </c>
      <c r="G93">
        <v>10</v>
      </c>
      <c r="H93">
        <v>146336</v>
      </c>
      <c r="I93">
        <v>2024</v>
      </c>
      <c r="J93">
        <v>10</v>
      </c>
      <c r="K93">
        <v>4</v>
      </c>
      <c r="L93">
        <v>5</v>
      </c>
      <c r="M93">
        <v>305</v>
      </c>
    </row>
    <row r="94" spans="1:13" x14ac:dyDescent="0.35">
      <c r="A94" s="6">
        <v>45405</v>
      </c>
      <c r="B94" t="s">
        <v>18</v>
      </c>
      <c r="C94" t="s">
        <v>11</v>
      </c>
      <c r="D94" t="s">
        <v>14</v>
      </c>
      <c r="E94">
        <v>11</v>
      </c>
      <c r="F94">
        <v>3412</v>
      </c>
      <c r="G94">
        <v>10</v>
      </c>
      <c r="H94">
        <v>33779</v>
      </c>
      <c r="I94">
        <v>2024</v>
      </c>
      <c r="J94">
        <v>4</v>
      </c>
      <c r="K94">
        <v>2</v>
      </c>
      <c r="L94">
        <v>4</v>
      </c>
      <c r="M94">
        <v>114</v>
      </c>
    </row>
    <row r="95" spans="1:13" x14ac:dyDescent="0.35">
      <c r="A95" s="6">
        <v>45548</v>
      </c>
      <c r="B95" t="s">
        <v>55</v>
      </c>
      <c r="C95" t="s">
        <v>11</v>
      </c>
      <c r="D95" t="s">
        <v>9</v>
      </c>
      <c r="E95">
        <v>21</v>
      </c>
      <c r="F95">
        <v>8468</v>
      </c>
      <c r="G95">
        <v>0</v>
      </c>
      <c r="H95">
        <v>177828</v>
      </c>
      <c r="I95">
        <v>2024</v>
      </c>
      <c r="J95">
        <v>9</v>
      </c>
      <c r="K95">
        <v>3</v>
      </c>
      <c r="L95">
        <v>2</v>
      </c>
      <c r="M95">
        <v>257</v>
      </c>
    </row>
    <row r="96" spans="1:13" x14ac:dyDescent="0.35">
      <c r="A96" s="6">
        <v>45349</v>
      </c>
      <c r="B96" t="s">
        <v>29</v>
      </c>
      <c r="C96" t="s">
        <v>25</v>
      </c>
      <c r="D96" t="s">
        <v>14</v>
      </c>
      <c r="E96">
        <v>18</v>
      </c>
      <c r="F96">
        <v>3115</v>
      </c>
      <c r="G96">
        <v>5</v>
      </c>
      <c r="H96">
        <v>53266</v>
      </c>
      <c r="I96">
        <v>2024</v>
      </c>
      <c r="J96">
        <v>2</v>
      </c>
      <c r="K96">
        <v>1</v>
      </c>
      <c r="L96">
        <v>5</v>
      </c>
      <c r="M96">
        <v>58</v>
      </c>
    </row>
    <row r="97" spans="1:13" x14ac:dyDescent="0.35">
      <c r="A97" s="6">
        <v>45294</v>
      </c>
      <c r="B97" t="s">
        <v>43</v>
      </c>
      <c r="C97" t="s">
        <v>20</v>
      </c>
      <c r="D97" t="s">
        <v>23</v>
      </c>
      <c r="E97">
        <v>28</v>
      </c>
      <c r="F97">
        <v>48353</v>
      </c>
      <c r="G97">
        <v>0</v>
      </c>
      <c r="H97">
        <v>1353884</v>
      </c>
      <c r="I97">
        <v>2024</v>
      </c>
      <c r="J97">
        <v>1</v>
      </c>
      <c r="K97">
        <v>1</v>
      </c>
      <c r="L97">
        <v>1</v>
      </c>
      <c r="M97">
        <v>3</v>
      </c>
    </row>
    <row r="98" spans="1:13" x14ac:dyDescent="0.35">
      <c r="A98" s="6">
        <v>45543</v>
      </c>
      <c r="B98" t="s">
        <v>46</v>
      </c>
      <c r="C98" t="s">
        <v>13</v>
      </c>
      <c r="D98" t="s">
        <v>53</v>
      </c>
      <c r="E98">
        <v>17</v>
      </c>
      <c r="F98">
        <v>2599</v>
      </c>
      <c r="G98">
        <v>10</v>
      </c>
      <c r="H98">
        <v>39765</v>
      </c>
      <c r="I98">
        <v>2024</v>
      </c>
      <c r="J98">
        <v>9</v>
      </c>
      <c r="K98">
        <v>3</v>
      </c>
      <c r="L98">
        <v>2</v>
      </c>
      <c r="M98">
        <v>252</v>
      </c>
    </row>
    <row r="99" spans="1:13" x14ac:dyDescent="0.35">
      <c r="A99" s="6">
        <v>45415</v>
      </c>
      <c r="B99" t="s">
        <v>51</v>
      </c>
      <c r="C99" t="s">
        <v>20</v>
      </c>
      <c r="D99" t="s">
        <v>9</v>
      </c>
      <c r="E99">
        <v>16</v>
      </c>
      <c r="F99">
        <v>9954</v>
      </c>
      <c r="G99">
        <v>16</v>
      </c>
      <c r="H99">
        <v>149310</v>
      </c>
      <c r="I99">
        <v>2024</v>
      </c>
      <c r="J99">
        <v>5</v>
      </c>
      <c r="K99">
        <v>2</v>
      </c>
      <c r="L99">
        <v>1</v>
      </c>
      <c r="M99">
        <v>124</v>
      </c>
    </row>
    <row r="100" spans="1:13" x14ac:dyDescent="0.35">
      <c r="A100" s="6">
        <v>45318</v>
      </c>
      <c r="B100" t="s">
        <v>12</v>
      </c>
      <c r="C100" t="s">
        <v>41</v>
      </c>
      <c r="D100" t="s">
        <v>53</v>
      </c>
      <c r="E100">
        <v>24</v>
      </c>
      <c r="F100">
        <v>430</v>
      </c>
      <c r="G100">
        <v>20</v>
      </c>
      <c r="H100">
        <v>8256</v>
      </c>
      <c r="I100">
        <v>2024</v>
      </c>
      <c r="J100">
        <v>1</v>
      </c>
      <c r="K100">
        <v>1</v>
      </c>
      <c r="L100">
        <v>4</v>
      </c>
      <c r="M100">
        <v>27</v>
      </c>
    </row>
    <row r="101" spans="1:13" x14ac:dyDescent="0.35">
      <c r="A101" s="6">
        <v>45526</v>
      </c>
      <c r="B101" t="s">
        <v>22</v>
      </c>
      <c r="C101" t="s">
        <v>36</v>
      </c>
      <c r="D101" t="s">
        <v>32</v>
      </c>
      <c r="E101">
        <v>8</v>
      </c>
      <c r="F101">
        <v>5271</v>
      </c>
      <c r="G101">
        <v>0</v>
      </c>
      <c r="H101">
        <v>42168</v>
      </c>
      <c r="I101">
        <v>2024</v>
      </c>
      <c r="J101">
        <v>8</v>
      </c>
      <c r="K101">
        <v>3</v>
      </c>
      <c r="L101">
        <v>4</v>
      </c>
      <c r="M101">
        <v>235</v>
      </c>
    </row>
    <row r="102" spans="1:13" x14ac:dyDescent="0.35">
      <c r="A102" s="6">
        <v>45372</v>
      </c>
      <c r="B102" t="s">
        <v>37</v>
      </c>
      <c r="C102" t="s">
        <v>20</v>
      </c>
      <c r="D102" t="s">
        <v>30</v>
      </c>
      <c r="E102">
        <v>3</v>
      </c>
      <c r="F102">
        <v>2840</v>
      </c>
      <c r="G102">
        <v>0</v>
      </c>
      <c r="H102">
        <v>8520</v>
      </c>
      <c r="I102">
        <v>2024</v>
      </c>
      <c r="J102">
        <v>3</v>
      </c>
      <c r="K102">
        <v>1</v>
      </c>
      <c r="L102">
        <v>4</v>
      </c>
      <c r="M102">
        <v>81</v>
      </c>
    </row>
    <row r="103" spans="1:13" x14ac:dyDescent="0.35">
      <c r="A103" s="6">
        <v>45402</v>
      </c>
      <c r="B103" t="s">
        <v>89</v>
      </c>
      <c r="C103" t="s">
        <v>20</v>
      </c>
      <c r="D103" t="s">
        <v>28</v>
      </c>
      <c r="E103">
        <v>27</v>
      </c>
      <c r="F103">
        <v>4063</v>
      </c>
      <c r="G103">
        <v>20</v>
      </c>
      <c r="H103">
        <v>87761</v>
      </c>
      <c r="I103">
        <v>2024</v>
      </c>
      <c r="J103">
        <v>4</v>
      </c>
      <c r="K103">
        <v>2</v>
      </c>
      <c r="L103">
        <v>3</v>
      </c>
      <c r="M103">
        <v>111</v>
      </c>
    </row>
    <row r="104" spans="1:13" x14ac:dyDescent="0.35">
      <c r="A104" s="6">
        <v>45363</v>
      </c>
      <c r="B104" t="s">
        <v>54</v>
      </c>
      <c r="C104" t="s">
        <v>41</v>
      </c>
      <c r="D104" t="s">
        <v>9</v>
      </c>
      <c r="E104">
        <v>27</v>
      </c>
      <c r="F104">
        <v>8713</v>
      </c>
      <c r="G104">
        <v>5</v>
      </c>
      <c r="H104">
        <v>223488</v>
      </c>
      <c r="I104">
        <v>2024</v>
      </c>
      <c r="J104">
        <v>3</v>
      </c>
      <c r="K104">
        <v>1</v>
      </c>
      <c r="L104">
        <v>3</v>
      </c>
      <c r="M104">
        <v>72</v>
      </c>
    </row>
    <row r="105" spans="1:13" x14ac:dyDescent="0.35">
      <c r="A105" s="6">
        <v>45547</v>
      </c>
      <c r="B105" t="s">
        <v>52</v>
      </c>
      <c r="C105" t="s">
        <v>41</v>
      </c>
      <c r="D105" t="s">
        <v>53</v>
      </c>
      <c r="E105">
        <v>11</v>
      </c>
      <c r="F105">
        <v>1174</v>
      </c>
      <c r="G105">
        <v>0</v>
      </c>
      <c r="H105">
        <v>12914</v>
      </c>
      <c r="I105">
        <v>2024</v>
      </c>
      <c r="J105">
        <v>9</v>
      </c>
      <c r="K105">
        <v>3</v>
      </c>
      <c r="L105">
        <v>2</v>
      </c>
      <c r="M105">
        <v>256</v>
      </c>
    </row>
    <row r="106" spans="1:13" x14ac:dyDescent="0.35">
      <c r="A106" s="6">
        <v>45472</v>
      </c>
      <c r="B106" t="s">
        <v>26</v>
      </c>
      <c r="C106" t="s">
        <v>13</v>
      </c>
      <c r="D106" t="s">
        <v>30</v>
      </c>
      <c r="E106">
        <v>4</v>
      </c>
      <c r="F106">
        <v>800</v>
      </c>
      <c r="G106">
        <v>10</v>
      </c>
      <c r="H106">
        <v>2880</v>
      </c>
      <c r="I106">
        <v>2024</v>
      </c>
      <c r="J106">
        <v>6</v>
      </c>
      <c r="K106">
        <v>2</v>
      </c>
      <c r="L106">
        <v>5</v>
      </c>
      <c r="M106">
        <v>181</v>
      </c>
    </row>
    <row r="107" spans="1:13" x14ac:dyDescent="0.35">
      <c r="A107" s="6">
        <v>45610</v>
      </c>
      <c r="B107" t="s">
        <v>46</v>
      </c>
      <c r="C107" t="s">
        <v>36</v>
      </c>
      <c r="D107" t="s">
        <v>14</v>
      </c>
      <c r="E107">
        <v>6</v>
      </c>
      <c r="F107">
        <v>2066</v>
      </c>
      <c r="G107">
        <v>20</v>
      </c>
      <c r="H107">
        <v>9917</v>
      </c>
      <c r="I107">
        <v>2024</v>
      </c>
      <c r="J107">
        <v>11</v>
      </c>
      <c r="K107">
        <v>4</v>
      </c>
      <c r="L107">
        <v>3</v>
      </c>
      <c r="M107">
        <v>319</v>
      </c>
    </row>
    <row r="108" spans="1:13" x14ac:dyDescent="0.35">
      <c r="A108" s="6">
        <v>45441</v>
      </c>
      <c r="B108" t="s">
        <v>24</v>
      </c>
      <c r="C108" t="s">
        <v>34</v>
      </c>
      <c r="D108" t="s">
        <v>32</v>
      </c>
      <c r="E108">
        <v>12</v>
      </c>
      <c r="F108">
        <v>90</v>
      </c>
      <c r="G108">
        <v>20</v>
      </c>
      <c r="H108">
        <v>864</v>
      </c>
      <c r="I108">
        <v>2024</v>
      </c>
      <c r="J108">
        <v>5</v>
      </c>
      <c r="K108">
        <v>2</v>
      </c>
      <c r="L108">
        <v>5</v>
      </c>
      <c r="M108">
        <v>150</v>
      </c>
    </row>
    <row r="109" spans="1:13" x14ac:dyDescent="0.35">
      <c r="A109" s="6">
        <v>45541</v>
      </c>
      <c r="B109" t="s">
        <v>18</v>
      </c>
      <c r="C109" t="s">
        <v>40</v>
      </c>
      <c r="D109" t="s">
        <v>19</v>
      </c>
      <c r="E109">
        <v>19</v>
      </c>
      <c r="F109">
        <v>14570</v>
      </c>
      <c r="G109">
        <v>0</v>
      </c>
      <c r="H109">
        <v>276830</v>
      </c>
      <c r="I109">
        <v>2024</v>
      </c>
      <c r="J109">
        <v>9</v>
      </c>
      <c r="K109">
        <v>3</v>
      </c>
      <c r="L109">
        <v>1</v>
      </c>
      <c r="M109">
        <v>250</v>
      </c>
    </row>
    <row r="110" spans="1:13" x14ac:dyDescent="0.35">
      <c r="A110" s="6">
        <v>45435</v>
      </c>
      <c r="B110" t="s">
        <v>44</v>
      </c>
      <c r="C110" t="s">
        <v>16</v>
      </c>
      <c r="D110" t="s">
        <v>32</v>
      </c>
      <c r="E110">
        <v>12</v>
      </c>
      <c r="F110">
        <v>2306</v>
      </c>
      <c r="G110">
        <v>0</v>
      </c>
      <c r="H110">
        <v>27672</v>
      </c>
      <c r="I110">
        <v>2024</v>
      </c>
      <c r="J110">
        <v>5</v>
      </c>
      <c r="K110">
        <v>2</v>
      </c>
      <c r="L110">
        <v>4</v>
      </c>
      <c r="M110">
        <v>144</v>
      </c>
    </row>
    <row r="111" spans="1:13" x14ac:dyDescent="0.35">
      <c r="A111" s="6">
        <v>45408</v>
      </c>
      <c r="B111" t="s">
        <v>31</v>
      </c>
      <c r="C111" t="s">
        <v>16</v>
      </c>
      <c r="D111" t="s">
        <v>17</v>
      </c>
      <c r="E111">
        <v>15</v>
      </c>
      <c r="F111">
        <v>6293</v>
      </c>
      <c r="G111">
        <v>10</v>
      </c>
      <c r="H111">
        <v>84956</v>
      </c>
      <c r="I111">
        <v>2024</v>
      </c>
      <c r="J111">
        <v>4</v>
      </c>
      <c r="K111">
        <v>2</v>
      </c>
      <c r="L111">
        <v>4</v>
      </c>
      <c r="M111">
        <v>117</v>
      </c>
    </row>
    <row r="112" spans="1:13" x14ac:dyDescent="0.35">
      <c r="A112" s="6">
        <v>45470</v>
      </c>
      <c r="B112" t="s">
        <v>22</v>
      </c>
      <c r="C112" t="s">
        <v>16</v>
      </c>
      <c r="D112" t="s">
        <v>17</v>
      </c>
      <c r="E112">
        <v>30</v>
      </c>
      <c r="F112">
        <v>4800</v>
      </c>
      <c r="G112">
        <v>15</v>
      </c>
      <c r="H112">
        <v>122400</v>
      </c>
      <c r="I112">
        <v>2024</v>
      </c>
      <c r="J112">
        <v>6</v>
      </c>
      <c r="K112">
        <v>2</v>
      </c>
      <c r="L112">
        <v>5</v>
      </c>
      <c r="M112">
        <v>179</v>
      </c>
    </row>
    <row r="113" spans="1:13" x14ac:dyDescent="0.35">
      <c r="A113" s="6">
        <v>45321</v>
      </c>
      <c r="B113" t="s">
        <v>51</v>
      </c>
      <c r="C113" t="s">
        <v>13</v>
      </c>
      <c r="D113" t="s">
        <v>53</v>
      </c>
      <c r="E113">
        <v>16</v>
      </c>
      <c r="F113">
        <v>5091</v>
      </c>
      <c r="G113">
        <v>15</v>
      </c>
      <c r="H113">
        <v>18656</v>
      </c>
      <c r="I113">
        <v>2024</v>
      </c>
      <c r="J113">
        <v>1</v>
      </c>
      <c r="K113">
        <v>1</v>
      </c>
      <c r="L113">
        <v>5</v>
      </c>
      <c r="M113">
        <v>30</v>
      </c>
    </row>
    <row r="114" spans="1:13" x14ac:dyDescent="0.35">
      <c r="A114" s="6">
        <v>45591</v>
      </c>
      <c r="B114" t="s">
        <v>39</v>
      </c>
      <c r="C114" t="s">
        <v>20</v>
      </c>
      <c r="D114" t="s">
        <v>19</v>
      </c>
      <c r="E114">
        <v>12</v>
      </c>
      <c r="F114">
        <v>9693</v>
      </c>
      <c r="G114">
        <v>20</v>
      </c>
      <c r="H114">
        <v>93053</v>
      </c>
      <c r="I114">
        <v>2024</v>
      </c>
      <c r="J114">
        <v>10</v>
      </c>
      <c r="K114">
        <v>4</v>
      </c>
      <c r="L114">
        <v>4</v>
      </c>
      <c r="M114">
        <v>300</v>
      </c>
    </row>
    <row r="115" spans="1:13" x14ac:dyDescent="0.35">
      <c r="A115" s="6">
        <v>45296</v>
      </c>
      <c r="B115" t="s">
        <v>12</v>
      </c>
      <c r="C115" t="s">
        <v>20</v>
      </c>
      <c r="D115" t="s">
        <v>32</v>
      </c>
      <c r="E115">
        <v>23</v>
      </c>
      <c r="F115">
        <v>4890</v>
      </c>
      <c r="G115">
        <v>16</v>
      </c>
      <c r="H115">
        <v>112470</v>
      </c>
      <c r="I115">
        <v>2024</v>
      </c>
      <c r="J115">
        <v>1</v>
      </c>
      <c r="K115">
        <v>1</v>
      </c>
      <c r="L115">
        <v>1</v>
      </c>
      <c r="M115">
        <v>5</v>
      </c>
    </row>
    <row r="116" spans="1:13" x14ac:dyDescent="0.35">
      <c r="A116" s="6">
        <v>45388</v>
      </c>
      <c r="B116" t="s">
        <v>29</v>
      </c>
      <c r="C116" t="s">
        <v>41</v>
      </c>
      <c r="D116" t="s">
        <v>14</v>
      </c>
      <c r="E116">
        <v>26</v>
      </c>
      <c r="F116">
        <v>2710</v>
      </c>
      <c r="G116">
        <v>10</v>
      </c>
      <c r="H116">
        <v>63414</v>
      </c>
      <c r="I116">
        <v>2024</v>
      </c>
      <c r="J116">
        <v>4</v>
      </c>
      <c r="K116">
        <v>2</v>
      </c>
      <c r="L116">
        <v>1</v>
      </c>
      <c r="M116">
        <v>97</v>
      </c>
    </row>
    <row r="117" spans="1:13" x14ac:dyDescent="0.35">
      <c r="A117" s="6">
        <v>45557</v>
      </c>
      <c r="B117" t="s">
        <v>26</v>
      </c>
      <c r="C117" t="s">
        <v>20</v>
      </c>
      <c r="D117" t="s">
        <v>14</v>
      </c>
      <c r="E117">
        <v>5</v>
      </c>
      <c r="F117">
        <v>5091</v>
      </c>
      <c r="G117">
        <v>10</v>
      </c>
      <c r="H117">
        <v>12969</v>
      </c>
      <c r="I117">
        <v>2024</v>
      </c>
      <c r="J117">
        <v>9</v>
      </c>
      <c r="K117">
        <v>3</v>
      </c>
      <c r="L117">
        <v>4</v>
      </c>
      <c r="M117">
        <v>266</v>
      </c>
    </row>
    <row r="118" spans="1:13" x14ac:dyDescent="0.35">
      <c r="A118" s="6">
        <v>45320</v>
      </c>
      <c r="B118" t="s">
        <v>57</v>
      </c>
      <c r="C118" t="s">
        <v>36</v>
      </c>
      <c r="D118" t="s">
        <v>23</v>
      </c>
      <c r="E118">
        <v>1</v>
      </c>
      <c r="F118">
        <v>48368</v>
      </c>
      <c r="G118">
        <v>15</v>
      </c>
      <c r="H118">
        <v>41113</v>
      </c>
      <c r="I118">
        <v>2024</v>
      </c>
      <c r="J118">
        <v>1</v>
      </c>
      <c r="K118">
        <v>1</v>
      </c>
      <c r="L118">
        <v>5</v>
      </c>
      <c r="M118">
        <v>29</v>
      </c>
    </row>
    <row r="119" spans="1:13" x14ac:dyDescent="0.35">
      <c r="A119" s="6">
        <v>45567</v>
      </c>
      <c r="B119" t="s">
        <v>26</v>
      </c>
      <c r="C119" t="s">
        <v>13</v>
      </c>
      <c r="D119" t="s">
        <v>38</v>
      </c>
      <c r="E119">
        <v>10</v>
      </c>
      <c r="F119">
        <v>24741</v>
      </c>
      <c r="G119">
        <v>5</v>
      </c>
      <c r="H119">
        <v>235040</v>
      </c>
      <c r="I119">
        <v>2024</v>
      </c>
      <c r="J119">
        <v>10</v>
      </c>
      <c r="K119">
        <v>4</v>
      </c>
      <c r="L119">
        <v>1</v>
      </c>
      <c r="M119">
        <v>276</v>
      </c>
    </row>
    <row r="120" spans="1:13" x14ac:dyDescent="0.35">
      <c r="A120" s="6">
        <v>45453</v>
      </c>
      <c r="B120" t="s">
        <v>47</v>
      </c>
      <c r="C120" t="s">
        <v>89</v>
      </c>
      <c r="D120" t="s">
        <v>23</v>
      </c>
      <c r="E120">
        <v>26</v>
      </c>
      <c r="F120">
        <v>52475</v>
      </c>
      <c r="G120">
        <v>10</v>
      </c>
      <c r="H120">
        <v>1227915</v>
      </c>
      <c r="I120">
        <v>2024</v>
      </c>
      <c r="J120">
        <v>6</v>
      </c>
      <c r="K120">
        <v>2</v>
      </c>
      <c r="L120">
        <v>3</v>
      </c>
      <c r="M120">
        <v>162</v>
      </c>
    </row>
    <row r="121" spans="1:13" x14ac:dyDescent="0.35">
      <c r="A121" s="6">
        <v>45539</v>
      </c>
      <c r="B121" t="s">
        <v>22</v>
      </c>
      <c r="C121" t="s">
        <v>34</v>
      </c>
      <c r="D121" t="s">
        <v>9</v>
      </c>
      <c r="E121">
        <v>28</v>
      </c>
      <c r="F121">
        <v>8967</v>
      </c>
      <c r="G121">
        <v>10</v>
      </c>
      <c r="H121">
        <v>225968</v>
      </c>
      <c r="I121">
        <v>2024</v>
      </c>
      <c r="J121">
        <v>9</v>
      </c>
      <c r="K121">
        <v>3</v>
      </c>
      <c r="L121">
        <v>1</v>
      </c>
      <c r="M121">
        <v>248</v>
      </c>
    </row>
    <row r="122" spans="1:13" x14ac:dyDescent="0.35">
      <c r="A122" s="6">
        <v>45614</v>
      </c>
      <c r="B122" t="s">
        <v>56</v>
      </c>
      <c r="C122" t="s">
        <v>40</v>
      </c>
      <c r="D122" t="s">
        <v>21</v>
      </c>
      <c r="E122">
        <v>16</v>
      </c>
      <c r="F122">
        <v>242</v>
      </c>
      <c r="G122">
        <v>20</v>
      </c>
      <c r="H122">
        <v>3098</v>
      </c>
      <c r="I122">
        <v>2024</v>
      </c>
      <c r="J122">
        <v>11</v>
      </c>
      <c r="K122">
        <v>4</v>
      </c>
      <c r="L122">
        <v>4</v>
      </c>
      <c r="M122">
        <v>323</v>
      </c>
    </row>
    <row r="123" spans="1:13" x14ac:dyDescent="0.35">
      <c r="A123" s="6">
        <v>45419</v>
      </c>
      <c r="B123" t="s">
        <v>55</v>
      </c>
      <c r="C123" t="s">
        <v>11</v>
      </c>
      <c r="D123" t="s">
        <v>28</v>
      </c>
      <c r="E123">
        <v>11</v>
      </c>
      <c r="F123">
        <v>3439</v>
      </c>
      <c r="G123">
        <v>0</v>
      </c>
      <c r="H123">
        <v>37829</v>
      </c>
      <c r="I123">
        <v>2024</v>
      </c>
      <c r="J123">
        <v>5</v>
      </c>
      <c r="K123">
        <v>2</v>
      </c>
      <c r="L123">
        <v>2</v>
      </c>
      <c r="M123">
        <v>128</v>
      </c>
    </row>
    <row r="124" spans="1:13" x14ac:dyDescent="0.35">
      <c r="A124" s="6">
        <v>45566</v>
      </c>
      <c r="B124" t="s">
        <v>10</v>
      </c>
      <c r="C124" t="s">
        <v>40</v>
      </c>
      <c r="D124" t="s">
        <v>14</v>
      </c>
      <c r="E124">
        <v>28</v>
      </c>
      <c r="F124">
        <v>3046</v>
      </c>
      <c r="G124">
        <v>16</v>
      </c>
      <c r="H124">
        <v>85288</v>
      </c>
      <c r="I124">
        <v>2024</v>
      </c>
      <c r="J124">
        <v>10</v>
      </c>
      <c r="K124">
        <v>4</v>
      </c>
      <c r="L124">
        <v>1</v>
      </c>
      <c r="M124">
        <v>275</v>
      </c>
    </row>
    <row r="125" spans="1:13" x14ac:dyDescent="0.35">
      <c r="A125" s="6">
        <v>45345</v>
      </c>
      <c r="B125" t="s">
        <v>47</v>
      </c>
      <c r="C125" t="s">
        <v>41</v>
      </c>
      <c r="D125" t="s">
        <v>19</v>
      </c>
      <c r="E125">
        <v>11</v>
      </c>
      <c r="F125">
        <v>9683</v>
      </c>
      <c r="G125">
        <v>0</v>
      </c>
      <c r="H125">
        <v>106513</v>
      </c>
      <c r="I125">
        <v>2024</v>
      </c>
      <c r="J125">
        <v>2</v>
      </c>
      <c r="K125">
        <v>1</v>
      </c>
      <c r="L125">
        <v>4</v>
      </c>
      <c r="M125">
        <v>54</v>
      </c>
    </row>
    <row r="126" spans="1:13" x14ac:dyDescent="0.35">
      <c r="A126" s="6">
        <v>45615</v>
      </c>
      <c r="B126" t="s">
        <v>56</v>
      </c>
      <c r="C126" t="s">
        <v>20</v>
      </c>
      <c r="D126" t="s">
        <v>38</v>
      </c>
      <c r="E126">
        <v>20</v>
      </c>
      <c r="F126">
        <v>24776</v>
      </c>
      <c r="G126">
        <v>5</v>
      </c>
      <c r="H126">
        <v>470744</v>
      </c>
      <c r="I126">
        <v>2024</v>
      </c>
      <c r="J126">
        <v>11</v>
      </c>
      <c r="K126">
        <v>4</v>
      </c>
      <c r="L126">
        <v>4</v>
      </c>
      <c r="M126">
        <v>324</v>
      </c>
    </row>
    <row r="127" spans="1:13" x14ac:dyDescent="0.35">
      <c r="A127" s="6">
        <v>45539</v>
      </c>
      <c r="B127" t="s">
        <v>50</v>
      </c>
      <c r="C127" t="s">
        <v>16</v>
      </c>
      <c r="D127" t="s">
        <v>17</v>
      </c>
      <c r="E127">
        <v>10</v>
      </c>
      <c r="F127">
        <v>6208</v>
      </c>
      <c r="G127">
        <v>0</v>
      </c>
      <c r="H127">
        <v>62080</v>
      </c>
      <c r="I127">
        <v>2024</v>
      </c>
      <c r="J127">
        <v>9</v>
      </c>
      <c r="K127">
        <v>3</v>
      </c>
      <c r="L127">
        <v>1</v>
      </c>
      <c r="M127">
        <v>248</v>
      </c>
    </row>
    <row r="128" spans="1:13" x14ac:dyDescent="0.35">
      <c r="A128" s="6">
        <v>45310</v>
      </c>
      <c r="B128" t="s">
        <v>37</v>
      </c>
      <c r="C128" t="s">
        <v>34</v>
      </c>
      <c r="D128" t="s">
        <v>30</v>
      </c>
      <c r="E128">
        <v>4</v>
      </c>
      <c r="F128">
        <v>416</v>
      </c>
      <c r="G128">
        <v>5</v>
      </c>
      <c r="H128">
        <v>1581</v>
      </c>
      <c r="I128">
        <v>2024</v>
      </c>
      <c r="J128">
        <v>1</v>
      </c>
      <c r="K128">
        <v>1</v>
      </c>
      <c r="L128">
        <v>3</v>
      </c>
      <c r="M128">
        <v>19</v>
      </c>
    </row>
    <row r="129" spans="1:13" x14ac:dyDescent="0.35">
      <c r="A129" s="6">
        <v>45540</v>
      </c>
      <c r="B129" t="s">
        <v>46</v>
      </c>
      <c r="C129" t="s">
        <v>34</v>
      </c>
      <c r="D129" t="s">
        <v>21</v>
      </c>
      <c r="E129">
        <v>23</v>
      </c>
      <c r="F129">
        <v>2799</v>
      </c>
      <c r="G129">
        <v>10</v>
      </c>
      <c r="H129">
        <v>57939</v>
      </c>
      <c r="I129">
        <v>2024</v>
      </c>
      <c r="J129">
        <v>9</v>
      </c>
      <c r="K129">
        <v>3</v>
      </c>
      <c r="L129">
        <v>1</v>
      </c>
      <c r="M129">
        <v>249</v>
      </c>
    </row>
    <row r="130" spans="1:13" x14ac:dyDescent="0.35">
      <c r="A130" s="6">
        <v>45489</v>
      </c>
      <c r="B130" t="s">
        <v>48</v>
      </c>
      <c r="C130" t="s">
        <v>34</v>
      </c>
      <c r="D130" t="s">
        <v>53</v>
      </c>
      <c r="E130">
        <v>25</v>
      </c>
      <c r="F130">
        <v>31</v>
      </c>
      <c r="G130">
        <v>20</v>
      </c>
      <c r="H130">
        <v>620</v>
      </c>
      <c r="I130">
        <v>2024</v>
      </c>
      <c r="J130">
        <v>7</v>
      </c>
      <c r="K130">
        <v>3</v>
      </c>
      <c r="L130">
        <v>3</v>
      </c>
      <c r="M130">
        <v>198</v>
      </c>
    </row>
    <row r="131" spans="1:13" x14ac:dyDescent="0.35">
      <c r="A131" s="6">
        <v>45319</v>
      </c>
      <c r="B131" t="s">
        <v>48</v>
      </c>
      <c r="C131" t="s">
        <v>13</v>
      </c>
      <c r="D131" t="s">
        <v>38</v>
      </c>
      <c r="E131">
        <v>4</v>
      </c>
      <c r="F131">
        <v>24662</v>
      </c>
      <c r="G131">
        <v>10</v>
      </c>
      <c r="H131">
        <v>88783</v>
      </c>
      <c r="I131">
        <v>2024</v>
      </c>
      <c r="J131">
        <v>1</v>
      </c>
      <c r="K131">
        <v>1</v>
      </c>
      <c r="L131">
        <v>5</v>
      </c>
      <c r="M131">
        <v>28</v>
      </c>
    </row>
    <row r="132" spans="1:13" x14ac:dyDescent="0.35">
      <c r="A132" s="6">
        <v>45301</v>
      </c>
      <c r="B132" t="s">
        <v>22</v>
      </c>
      <c r="C132" t="s">
        <v>41</v>
      </c>
      <c r="D132" t="s">
        <v>32</v>
      </c>
      <c r="E132">
        <v>16</v>
      </c>
      <c r="F132">
        <v>5560</v>
      </c>
      <c r="G132">
        <v>5</v>
      </c>
      <c r="H132">
        <v>137332</v>
      </c>
      <c r="I132">
        <v>2024</v>
      </c>
      <c r="J132">
        <v>1</v>
      </c>
      <c r="K132">
        <v>1</v>
      </c>
      <c r="L132">
        <v>2</v>
      </c>
      <c r="M132">
        <v>10</v>
      </c>
    </row>
    <row r="133" spans="1:13" x14ac:dyDescent="0.35">
      <c r="A133" s="6">
        <v>45646</v>
      </c>
      <c r="B133" t="s">
        <v>12</v>
      </c>
      <c r="C133" t="s">
        <v>36</v>
      </c>
      <c r="D133" t="s">
        <v>23</v>
      </c>
      <c r="E133">
        <v>3</v>
      </c>
      <c r="F133">
        <v>47115</v>
      </c>
      <c r="G133">
        <v>20</v>
      </c>
      <c r="H133">
        <v>113076</v>
      </c>
      <c r="I133">
        <v>2024</v>
      </c>
      <c r="J133">
        <v>12</v>
      </c>
      <c r="K133">
        <v>4</v>
      </c>
      <c r="L133">
        <v>3</v>
      </c>
      <c r="M133">
        <v>355</v>
      </c>
    </row>
    <row r="134" spans="1:13" x14ac:dyDescent="0.35">
      <c r="A134" s="6">
        <v>45599</v>
      </c>
      <c r="B134" t="s">
        <v>46</v>
      </c>
      <c r="C134" t="s">
        <v>36</v>
      </c>
      <c r="D134" t="s">
        <v>17</v>
      </c>
      <c r="E134">
        <v>23</v>
      </c>
      <c r="F134">
        <v>3354</v>
      </c>
      <c r="G134">
        <v>5</v>
      </c>
      <c r="H134">
        <v>73285</v>
      </c>
      <c r="I134">
        <v>2024</v>
      </c>
      <c r="J134">
        <v>11</v>
      </c>
      <c r="K134">
        <v>4</v>
      </c>
      <c r="L134">
        <v>2</v>
      </c>
      <c r="M134">
        <v>308</v>
      </c>
    </row>
    <row r="135" spans="1:13" x14ac:dyDescent="0.35">
      <c r="A135" s="6">
        <v>45313</v>
      </c>
      <c r="B135" t="s">
        <v>47</v>
      </c>
      <c r="C135" t="s">
        <v>20</v>
      </c>
      <c r="D135" t="s">
        <v>42</v>
      </c>
      <c r="E135">
        <v>6</v>
      </c>
      <c r="F135">
        <v>20049</v>
      </c>
      <c r="G135">
        <v>5</v>
      </c>
      <c r="H135">
        <v>114279</v>
      </c>
      <c r="I135">
        <v>2024</v>
      </c>
      <c r="J135">
        <v>1</v>
      </c>
      <c r="K135">
        <v>1</v>
      </c>
      <c r="L135">
        <v>4</v>
      </c>
      <c r="M135">
        <v>22</v>
      </c>
    </row>
    <row r="136" spans="1:13" x14ac:dyDescent="0.35">
      <c r="A136" s="6">
        <v>45507</v>
      </c>
      <c r="B136" t="s">
        <v>47</v>
      </c>
      <c r="C136" t="s">
        <v>41</v>
      </c>
      <c r="D136" t="s">
        <v>23</v>
      </c>
      <c r="E136">
        <v>29</v>
      </c>
      <c r="F136">
        <v>49918</v>
      </c>
      <c r="G136">
        <v>20</v>
      </c>
      <c r="H136">
        <v>1158098</v>
      </c>
      <c r="I136">
        <v>2024</v>
      </c>
      <c r="J136">
        <v>8</v>
      </c>
      <c r="K136">
        <v>3</v>
      </c>
      <c r="L136">
        <v>1</v>
      </c>
      <c r="M136">
        <v>216</v>
      </c>
    </row>
    <row r="137" spans="1:13" x14ac:dyDescent="0.35">
      <c r="A137" s="6">
        <v>45584</v>
      </c>
      <c r="B137" t="s">
        <v>39</v>
      </c>
      <c r="C137" t="s">
        <v>25</v>
      </c>
      <c r="D137" t="s">
        <v>32</v>
      </c>
      <c r="E137">
        <v>20</v>
      </c>
      <c r="F137">
        <v>3748</v>
      </c>
      <c r="G137">
        <v>0</v>
      </c>
      <c r="H137">
        <v>74960</v>
      </c>
      <c r="I137">
        <v>2024</v>
      </c>
      <c r="J137">
        <v>10</v>
      </c>
      <c r="K137">
        <v>4</v>
      </c>
      <c r="L137">
        <v>3</v>
      </c>
      <c r="M137">
        <v>293</v>
      </c>
    </row>
    <row r="138" spans="1:13" x14ac:dyDescent="0.35">
      <c r="A138" s="6">
        <v>45310</v>
      </c>
      <c r="B138" t="s">
        <v>10</v>
      </c>
      <c r="C138" t="s">
        <v>40</v>
      </c>
      <c r="D138" t="s">
        <v>53</v>
      </c>
      <c r="E138">
        <v>12</v>
      </c>
      <c r="F138">
        <v>3568</v>
      </c>
      <c r="G138">
        <v>15</v>
      </c>
      <c r="H138">
        <v>36394</v>
      </c>
      <c r="I138">
        <v>2024</v>
      </c>
      <c r="J138">
        <v>1</v>
      </c>
      <c r="K138">
        <v>1</v>
      </c>
      <c r="L138">
        <v>3</v>
      </c>
      <c r="M138">
        <v>19</v>
      </c>
    </row>
    <row r="139" spans="1:13" x14ac:dyDescent="0.35">
      <c r="A139" s="6">
        <v>45318</v>
      </c>
      <c r="B139" t="s">
        <v>24</v>
      </c>
      <c r="C139" t="s">
        <v>34</v>
      </c>
      <c r="D139" t="s">
        <v>53</v>
      </c>
      <c r="E139">
        <v>5</v>
      </c>
      <c r="F139">
        <v>1808</v>
      </c>
      <c r="G139">
        <v>16</v>
      </c>
      <c r="H139">
        <v>9040</v>
      </c>
      <c r="I139">
        <v>2024</v>
      </c>
      <c r="J139">
        <v>1</v>
      </c>
      <c r="K139">
        <v>1</v>
      </c>
      <c r="L139">
        <v>4</v>
      </c>
      <c r="M139">
        <v>27</v>
      </c>
    </row>
    <row r="140" spans="1:13" x14ac:dyDescent="0.35">
      <c r="A140" s="6">
        <v>45631</v>
      </c>
      <c r="B140" t="s">
        <v>48</v>
      </c>
      <c r="C140" t="s">
        <v>36</v>
      </c>
      <c r="D140" t="s">
        <v>32</v>
      </c>
      <c r="E140">
        <v>4</v>
      </c>
      <c r="F140">
        <v>2333</v>
      </c>
      <c r="G140">
        <v>10</v>
      </c>
      <c r="H140">
        <v>8399</v>
      </c>
      <c r="I140">
        <v>2024</v>
      </c>
      <c r="J140">
        <v>12</v>
      </c>
      <c r="K140">
        <v>4</v>
      </c>
      <c r="L140">
        <v>1</v>
      </c>
      <c r="M140">
        <v>340</v>
      </c>
    </row>
    <row r="141" spans="1:13" x14ac:dyDescent="0.35">
      <c r="A141" s="6">
        <v>45613</v>
      </c>
      <c r="B141" t="s">
        <v>27</v>
      </c>
      <c r="C141" t="s">
        <v>16</v>
      </c>
      <c r="D141" t="s">
        <v>9</v>
      </c>
      <c r="E141">
        <v>16</v>
      </c>
      <c r="F141">
        <v>6560</v>
      </c>
      <c r="G141">
        <v>5</v>
      </c>
      <c r="H141">
        <v>99712</v>
      </c>
      <c r="I141">
        <v>2024</v>
      </c>
      <c r="J141">
        <v>11</v>
      </c>
      <c r="K141">
        <v>4</v>
      </c>
      <c r="L141">
        <v>4</v>
      </c>
      <c r="M141">
        <v>322</v>
      </c>
    </row>
    <row r="142" spans="1:13" x14ac:dyDescent="0.35">
      <c r="A142" s="6">
        <v>45522</v>
      </c>
      <c r="B142" t="s">
        <v>39</v>
      </c>
      <c r="C142" t="s">
        <v>41</v>
      </c>
      <c r="D142" t="s">
        <v>32</v>
      </c>
      <c r="E142">
        <v>15</v>
      </c>
      <c r="F142">
        <v>4727</v>
      </c>
      <c r="G142">
        <v>10</v>
      </c>
      <c r="H142">
        <v>63814</v>
      </c>
      <c r="I142">
        <v>2024</v>
      </c>
      <c r="J142">
        <v>8</v>
      </c>
      <c r="K142">
        <v>3</v>
      </c>
      <c r="L142">
        <v>4</v>
      </c>
      <c r="M142">
        <v>231</v>
      </c>
    </row>
    <row r="143" spans="1:13" x14ac:dyDescent="0.35">
      <c r="A143" s="6">
        <v>45639</v>
      </c>
      <c r="B143" t="s">
        <v>26</v>
      </c>
      <c r="C143" t="s">
        <v>13</v>
      </c>
      <c r="D143" t="s">
        <v>32</v>
      </c>
      <c r="E143">
        <v>6</v>
      </c>
      <c r="F143">
        <v>5091</v>
      </c>
      <c r="G143">
        <v>0</v>
      </c>
      <c r="H143">
        <v>15810</v>
      </c>
      <c r="I143">
        <v>2024</v>
      </c>
      <c r="J143">
        <v>12</v>
      </c>
      <c r="K143">
        <v>4</v>
      </c>
      <c r="L143">
        <v>2</v>
      </c>
      <c r="M143">
        <v>348</v>
      </c>
    </row>
    <row r="144" spans="1:13" x14ac:dyDescent="0.35">
      <c r="A144" s="6">
        <v>45449</v>
      </c>
      <c r="B144" t="s">
        <v>47</v>
      </c>
      <c r="C144" t="s">
        <v>34</v>
      </c>
      <c r="D144" t="s">
        <v>17</v>
      </c>
      <c r="E144">
        <v>11</v>
      </c>
      <c r="F144">
        <v>4473</v>
      </c>
      <c r="G144">
        <v>15</v>
      </c>
      <c r="H144">
        <v>41823</v>
      </c>
      <c r="I144">
        <v>2024</v>
      </c>
      <c r="J144">
        <v>6</v>
      </c>
      <c r="K144">
        <v>2</v>
      </c>
      <c r="L144">
        <v>2</v>
      </c>
      <c r="M144">
        <v>158</v>
      </c>
    </row>
    <row r="145" spans="1:13" x14ac:dyDescent="0.35">
      <c r="A145" s="6">
        <v>45527</v>
      </c>
      <c r="B145" t="s">
        <v>27</v>
      </c>
      <c r="C145" t="s">
        <v>16</v>
      </c>
      <c r="D145" t="s">
        <v>21</v>
      </c>
      <c r="E145">
        <v>26</v>
      </c>
      <c r="F145">
        <v>4181</v>
      </c>
      <c r="G145">
        <v>10</v>
      </c>
      <c r="H145">
        <v>97835</v>
      </c>
      <c r="I145">
        <v>2024</v>
      </c>
      <c r="J145">
        <v>8</v>
      </c>
      <c r="K145">
        <v>3</v>
      </c>
      <c r="L145">
        <v>4</v>
      </c>
      <c r="M145">
        <v>236</v>
      </c>
    </row>
    <row r="146" spans="1:13" x14ac:dyDescent="0.35">
      <c r="A146" s="6">
        <v>45412</v>
      </c>
      <c r="B146" t="s">
        <v>57</v>
      </c>
      <c r="C146" t="s">
        <v>40</v>
      </c>
      <c r="D146" t="s">
        <v>30</v>
      </c>
      <c r="E146">
        <v>22</v>
      </c>
      <c r="F146">
        <v>562</v>
      </c>
      <c r="G146">
        <v>0</v>
      </c>
      <c r="H146">
        <v>12364</v>
      </c>
      <c r="I146">
        <v>2024</v>
      </c>
      <c r="J146">
        <v>4</v>
      </c>
      <c r="K146">
        <v>2</v>
      </c>
      <c r="L146">
        <v>5</v>
      </c>
      <c r="M146">
        <v>121</v>
      </c>
    </row>
    <row r="147" spans="1:13" x14ac:dyDescent="0.35">
      <c r="A147" s="6">
        <v>45367</v>
      </c>
      <c r="B147" t="s">
        <v>27</v>
      </c>
      <c r="C147" t="s">
        <v>20</v>
      </c>
      <c r="D147" t="s">
        <v>17</v>
      </c>
      <c r="E147">
        <v>29</v>
      </c>
      <c r="F147">
        <v>5188</v>
      </c>
      <c r="G147">
        <v>15</v>
      </c>
      <c r="H147">
        <v>127884</v>
      </c>
      <c r="I147">
        <v>2024</v>
      </c>
      <c r="J147">
        <v>3</v>
      </c>
      <c r="K147">
        <v>1</v>
      </c>
      <c r="L147">
        <v>3</v>
      </c>
      <c r="M147">
        <v>76</v>
      </c>
    </row>
    <row r="148" spans="1:13" x14ac:dyDescent="0.35">
      <c r="A148" s="6">
        <v>45611</v>
      </c>
      <c r="B148" t="s">
        <v>55</v>
      </c>
      <c r="C148" t="s">
        <v>40</v>
      </c>
      <c r="D148" t="s">
        <v>53</v>
      </c>
      <c r="E148">
        <v>30</v>
      </c>
      <c r="F148">
        <v>1222</v>
      </c>
      <c r="G148">
        <v>0</v>
      </c>
      <c r="H148">
        <v>36660</v>
      </c>
      <c r="I148">
        <v>2024</v>
      </c>
      <c r="J148">
        <v>11</v>
      </c>
      <c r="K148">
        <v>4</v>
      </c>
      <c r="L148">
        <v>3</v>
      </c>
      <c r="M148">
        <v>320</v>
      </c>
    </row>
    <row r="149" spans="1:13" x14ac:dyDescent="0.35">
      <c r="A149" s="6">
        <v>45601</v>
      </c>
      <c r="B149" t="s">
        <v>49</v>
      </c>
      <c r="C149" t="s">
        <v>89</v>
      </c>
      <c r="D149" t="s">
        <v>28</v>
      </c>
      <c r="E149">
        <v>23</v>
      </c>
      <c r="F149">
        <v>6236</v>
      </c>
      <c r="G149">
        <v>15</v>
      </c>
      <c r="H149">
        <v>121914</v>
      </c>
      <c r="I149">
        <v>2024</v>
      </c>
      <c r="J149">
        <v>11</v>
      </c>
      <c r="K149">
        <v>4</v>
      </c>
      <c r="L149">
        <v>2</v>
      </c>
      <c r="M149">
        <v>310</v>
      </c>
    </row>
    <row r="150" spans="1:13" x14ac:dyDescent="0.35">
      <c r="A150" s="6">
        <v>45476</v>
      </c>
      <c r="B150" t="s">
        <v>49</v>
      </c>
      <c r="C150" t="s">
        <v>20</v>
      </c>
      <c r="D150" t="s">
        <v>23</v>
      </c>
      <c r="E150">
        <v>24</v>
      </c>
      <c r="F150">
        <v>48181</v>
      </c>
      <c r="G150">
        <v>0</v>
      </c>
      <c r="H150">
        <v>1156344</v>
      </c>
      <c r="I150">
        <v>2024</v>
      </c>
      <c r="J150">
        <v>7</v>
      </c>
      <c r="K150">
        <v>3</v>
      </c>
      <c r="L150">
        <v>1</v>
      </c>
      <c r="M150">
        <v>185</v>
      </c>
    </row>
    <row r="151" spans="1:13" x14ac:dyDescent="0.35">
      <c r="A151" s="6">
        <v>45601</v>
      </c>
      <c r="B151" t="s">
        <v>50</v>
      </c>
      <c r="C151" t="s">
        <v>13</v>
      </c>
      <c r="D151" t="s">
        <v>23</v>
      </c>
      <c r="E151">
        <v>21</v>
      </c>
      <c r="F151">
        <v>49766</v>
      </c>
      <c r="G151">
        <v>16</v>
      </c>
      <c r="H151">
        <v>1045086</v>
      </c>
      <c r="I151">
        <v>2024</v>
      </c>
      <c r="J151">
        <v>11</v>
      </c>
      <c r="K151">
        <v>4</v>
      </c>
      <c r="L151">
        <v>2</v>
      </c>
      <c r="M151">
        <v>310</v>
      </c>
    </row>
    <row r="152" spans="1:13" x14ac:dyDescent="0.35">
      <c r="A152" s="6">
        <v>45298</v>
      </c>
      <c r="B152" t="s">
        <v>51</v>
      </c>
      <c r="C152" t="s">
        <v>16</v>
      </c>
      <c r="D152" t="s">
        <v>23</v>
      </c>
      <c r="E152">
        <v>6</v>
      </c>
      <c r="F152">
        <v>49740</v>
      </c>
      <c r="G152">
        <v>10</v>
      </c>
      <c r="H152">
        <v>268596</v>
      </c>
      <c r="I152">
        <v>2024</v>
      </c>
      <c r="J152">
        <v>1</v>
      </c>
      <c r="K152">
        <v>1</v>
      </c>
      <c r="L152">
        <v>2</v>
      </c>
      <c r="M152">
        <v>7</v>
      </c>
    </row>
    <row r="153" spans="1:13" x14ac:dyDescent="0.35">
      <c r="A153" s="6">
        <v>45517</v>
      </c>
      <c r="B153" t="s">
        <v>29</v>
      </c>
      <c r="C153" t="s">
        <v>16</v>
      </c>
      <c r="D153" t="s">
        <v>19</v>
      </c>
      <c r="E153">
        <v>8</v>
      </c>
      <c r="F153">
        <v>14644</v>
      </c>
      <c r="G153">
        <v>10</v>
      </c>
      <c r="H153">
        <v>105437</v>
      </c>
      <c r="I153">
        <v>2024</v>
      </c>
      <c r="J153">
        <v>8</v>
      </c>
      <c r="K153">
        <v>3</v>
      </c>
      <c r="L153">
        <v>3</v>
      </c>
      <c r="M153">
        <v>226</v>
      </c>
    </row>
    <row r="154" spans="1:13" x14ac:dyDescent="0.35">
      <c r="A154" s="6">
        <v>45633</v>
      </c>
      <c r="B154" t="s">
        <v>56</v>
      </c>
      <c r="C154" t="s">
        <v>11</v>
      </c>
      <c r="D154" t="s">
        <v>42</v>
      </c>
      <c r="E154">
        <v>19</v>
      </c>
      <c r="F154">
        <v>20849</v>
      </c>
      <c r="G154">
        <v>0</v>
      </c>
      <c r="H154">
        <v>396131</v>
      </c>
      <c r="I154">
        <v>2024</v>
      </c>
      <c r="J154">
        <v>12</v>
      </c>
      <c r="K154">
        <v>4</v>
      </c>
      <c r="L154">
        <v>1</v>
      </c>
      <c r="M154">
        <v>342</v>
      </c>
    </row>
    <row r="155" spans="1:13" x14ac:dyDescent="0.35">
      <c r="A155" s="6">
        <v>45494</v>
      </c>
      <c r="B155" t="s">
        <v>58</v>
      </c>
      <c r="C155" t="s">
        <v>13</v>
      </c>
      <c r="D155" t="s">
        <v>9</v>
      </c>
      <c r="E155">
        <v>20</v>
      </c>
      <c r="F155">
        <v>5645</v>
      </c>
      <c r="G155">
        <v>15</v>
      </c>
      <c r="H155">
        <v>95965</v>
      </c>
      <c r="I155">
        <v>2024</v>
      </c>
      <c r="J155">
        <v>7</v>
      </c>
      <c r="K155">
        <v>3</v>
      </c>
      <c r="L155">
        <v>4</v>
      </c>
      <c r="M155">
        <v>203</v>
      </c>
    </row>
    <row r="156" spans="1:13" x14ac:dyDescent="0.35">
      <c r="A156" s="6">
        <v>45527</v>
      </c>
      <c r="B156" t="s">
        <v>33</v>
      </c>
      <c r="C156" t="s">
        <v>20</v>
      </c>
      <c r="D156" t="s">
        <v>19</v>
      </c>
      <c r="E156">
        <v>5</v>
      </c>
      <c r="F156">
        <v>11028</v>
      </c>
      <c r="G156">
        <v>16</v>
      </c>
      <c r="H156">
        <v>55140</v>
      </c>
      <c r="I156">
        <v>2024</v>
      </c>
      <c r="J156">
        <v>8</v>
      </c>
      <c r="K156">
        <v>3</v>
      </c>
      <c r="L156">
        <v>4</v>
      </c>
      <c r="M156">
        <v>236</v>
      </c>
    </row>
    <row r="157" spans="1:13" x14ac:dyDescent="0.35">
      <c r="A157" s="6">
        <v>45401</v>
      </c>
      <c r="B157" t="s">
        <v>39</v>
      </c>
      <c r="C157" t="s">
        <v>11</v>
      </c>
      <c r="D157" t="s">
        <v>21</v>
      </c>
      <c r="E157">
        <v>28</v>
      </c>
      <c r="F157">
        <v>718</v>
      </c>
      <c r="G157">
        <v>15</v>
      </c>
      <c r="H157">
        <v>17088</v>
      </c>
      <c r="I157">
        <v>2024</v>
      </c>
      <c r="J157">
        <v>4</v>
      </c>
      <c r="K157">
        <v>2</v>
      </c>
      <c r="L157">
        <v>3</v>
      </c>
      <c r="M157">
        <v>110</v>
      </c>
    </row>
    <row r="158" spans="1:13" x14ac:dyDescent="0.35">
      <c r="A158" s="6">
        <v>45493</v>
      </c>
      <c r="B158" t="s">
        <v>89</v>
      </c>
      <c r="C158" t="s">
        <v>34</v>
      </c>
      <c r="D158" t="s">
        <v>19</v>
      </c>
      <c r="E158">
        <v>23</v>
      </c>
      <c r="F158">
        <v>10642</v>
      </c>
      <c r="G158">
        <v>5</v>
      </c>
      <c r="H158">
        <v>232528</v>
      </c>
      <c r="I158">
        <v>2024</v>
      </c>
      <c r="J158">
        <v>7</v>
      </c>
      <c r="K158">
        <v>3</v>
      </c>
      <c r="L158">
        <v>3</v>
      </c>
      <c r="M158">
        <v>202</v>
      </c>
    </row>
    <row r="159" spans="1:13" x14ac:dyDescent="0.35">
      <c r="A159" s="6">
        <v>45499</v>
      </c>
      <c r="B159" t="s">
        <v>10</v>
      </c>
      <c r="C159" t="s">
        <v>20</v>
      </c>
      <c r="D159" t="s">
        <v>42</v>
      </c>
      <c r="E159">
        <v>22</v>
      </c>
      <c r="F159">
        <v>22283</v>
      </c>
      <c r="G159">
        <v>10</v>
      </c>
      <c r="H159">
        <v>441203</v>
      </c>
      <c r="I159">
        <v>2024</v>
      </c>
      <c r="J159">
        <v>7</v>
      </c>
      <c r="K159">
        <v>3</v>
      </c>
      <c r="L159">
        <v>4</v>
      </c>
      <c r="M159">
        <v>208</v>
      </c>
    </row>
    <row r="160" spans="1:13" x14ac:dyDescent="0.35">
      <c r="A160" s="6">
        <v>45480</v>
      </c>
      <c r="B160" t="s">
        <v>44</v>
      </c>
      <c r="C160" t="s">
        <v>25</v>
      </c>
      <c r="D160" t="s">
        <v>30</v>
      </c>
      <c r="E160">
        <v>16</v>
      </c>
      <c r="F160">
        <v>307</v>
      </c>
      <c r="G160">
        <v>5</v>
      </c>
      <c r="H160">
        <v>4666</v>
      </c>
      <c r="I160">
        <v>2024</v>
      </c>
      <c r="J160">
        <v>7</v>
      </c>
      <c r="K160">
        <v>3</v>
      </c>
      <c r="L160">
        <v>2</v>
      </c>
      <c r="M160">
        <v>189</v>
      </c>
    </row>
    <row r="161" spans="1:13" x14ac:dyDescent="0.35">
      <c r="A161" s="6">
        <v>45311</v>
      </c>
      <c r="B161" t="s">
        <v>58</v>
      </c>
      <c r="C161" t="s">
        <v>25</v>
      </c>
      <c r="D161" t="s">
        <v>42</v>
      </c>
      <c r="E161">
        <v>16</v>
      </c>
      <c r="F161">
        <v>20538</v>
      </c>
      <c r="G161">
        <v>10</v>
      </c>
      <c r="H161">
        <v>443621</v>
      </c>
      <c r="I161">
        <v>2024</v>
      </c>
      <c r="J161">
        <v>1</v>
      </c>
      <c r="K161">
        <v>1</v>
      </c>
      <c r="L161">
        <v>3</v>
      </c>
      <c r="M161">
        <v>20</v>
      </c>
    </row>
    <row r="162" spans="1:13" x14ac:dyDescent="0.35">
      <c r="A162" s="6">
        <v>45644</v>
      </c>
      <c r="B162" t="s">
        <v>10</v>
      </c>
      <c r="C162" t="s">
        <v>40</v>
      </c>
      <c r="D162" t="s">
        <v>23</v>
      </c>
      <c r="E162">
        <v>29</v>
      </c>
      <c r="F162">
        <v>52564</v>
      </c>
      <c r="G162">
        <v>20</v>
      </c>
      <c r="H162">
        <v>1219485</v>
      </c>
      <c r="I162">
        <v>2024</v>
      </c>
      <c r="J162">
        <v>12</v>
      </c>
      <c r="K162">
        <v>4</v>
      </c>
      <c r="L162">
        <v>3</v>
      </c>
      <c r="M162">
        <v>353</v>
      </c>
    </row>
    <row r="163" spans="1:13" x14ac:dyDescent="0.35">
      <c r="A163" s="6">
        <v>45383</v>
      </c>
      <c r="B163" t="s">
        <v>47</v>
      </c>
      <c r="C163" t="s">
        <v>40</v>
      </c>
      <c r="D163" t="s">
        <v>30</v>
      </c>
      <c r="E163">
        <v>23</v>
      </c>
      <c r="F163">
        <v>902</v>
      </c>
      <c r="G163">
        <v>20</v>
      </c>
      <c r="H163">
        <v>16597</v>
      </c>
      <c r="I163">
        <v>2024</v>
      </c>
      <c r="J163">
        <v>4</v>
      </c>
      <c r="K163">
        <v>2</v>
      </c>
      <c r="L163">
        <v>1</v>
      </c>
      <c r="M163">
        <v>92</v>
      </c>
    </row>
    <row r="164" spans="1:13" x14ac:dyDescent="0.35">
      <c r="A164" s="6">
        <v>45321</v>
      </c>
      <c r="B164" t="s">
        <v>43</v>
      </c>
      <c r="C164" t="s">
        <v>11</v>
      </c>
      <c r="D164" t="s">
        <v>23</v>
      </c>
      <c r="E164">
        <v>2</v>
      </c>
      <c r="F164">
        <v>49988</v>
      </c>
      <c r="G164">
        <v>10</v>
      </c>
      <c r="H164">
        <v>89978</v>
      </c>
      <c r="I164">
        <v>2024</v>
      </c>
      <c r="J164">
        <v>1</v>
      </c>
      <c r="K164">
        <v>1</v>
      </c>
      <c r="L164">
        <v>5</v>
      </c>
      <c r="M164">
        <v>30</v>
      </c>
    </row>
    <row r="165" spans="1:13" x14ac:dyDescent="0.35">
      <c r="A165" s="6">
        <v>45558</v>
      </c>
      <c r="B165" t="s">
        <v>35</v>
      </c>
      <c r="C165" t="s">
        <v>13</v>
      </c>
      <c r="D165" t="s">
        <v>21</v>
      </c>
      <c r="E165">
        <v>23</v>
      </c>
      <c r="F165">
        <v>3376</v>
      </c>
      <c r="G165">
        <v>16</v>
      </c>
      <c r="H165">
        <v>77648</v>
      </c>
      <c r="I165">
        <v>2024</v>
      </c>
      <c r="J165">
        <v>9</v>
      </c>
      <c r="K165">
        <v>3</v>
      </c>
      <c r="L165">
        <v>4</v>
      </c>
      <c r="M165">
        <v>267</v>
      </c>
    </row>
    <row r="166" spans="1:13" x14ac:dyDescent="0.35">
      <c r="A166" s="6">
        <v>45467</v>
      </c>
      <c r="B166" t="s">
        <v>8</v>
      </c>
      <c r="C166" t="s">
        <v>16</v>
      </c>
      <c r="D166" t="s">
        <v>32</v>
      </c>
      <c r="E166">
        <v>9</v>
      </c>
      <c r="F166">
        <v>4197</v>
      </c>
      <c r="G166">
        <v>15</v>
      </c>
      <c r="H166">
        <v>32107</v>
      </c>
      <c r="I166">
        <v>2024</v>
      </c>
      <c r="J166">
        <v>6</v>
      </c>
      <c r="K166">
        <v>2</v>
      </c>
      <c r="L166">
        <v>5</v>
      </c>
      <c r="M166">
        <v>176</v>
      </c>
    </row>
    <row r="167" spans="1:13" x14ac:dyDescent="0.35">
      <c r="A167" s="6">
        <v>45507</v>
      </c>
      <c r="B167" t="s">
        <v>31</v>
      </c>
      <c r="C167" t="s">
        <v>40</v>
      </c>
      <c r="D167" t="s">
        <v>53</v>
      </c>
      <c r="E167">
        <v>25</v>
      </c>
      <c r="F167">
        <v>18</v>
      </c>
      <c r="G167">
        <v>20</v>
      </c>
      <c r="H167">
        <v>360</v>
      </c>
      <c r="I167">
        <v>2024</v>
      </c>
      <c r="J167">
        <v>8</v>
      </c>
      <c r="K167">
        <v>3</v>
      </c>
      <c r="L167">
        <v>1</v>
      </c>
      <c r="M167">
        <v>216</v>
      </c>
    </row>
    <row r="168" spans="1:13" x14ac:dyDescent="0.35">
      <c r="A168" s="6">
        <v>45473</v>
      </c>
      <c r="B168" t="s">
        <v>26</v>
      </c>
      <c r="C168" t="s">
        <v>89</v>
      </c>
      <c r="D168" t="s">
        <v>28</v>
      </c>
      <c r="E168">
        <v>20</v>
      </c>
      <c r="F168">
        <v>2940</v>
      </c>
      <c r="G168">
        <v>16</v>
      </c>
      <c r="H168">
        <v>58800</v>
      </c>
      <c r="I168">
        <v>2024</v>
      </c>
      <c r="J168">
        <v>6</v>
      </c>
      <c r="K168">
        <v>2</v>
      </c>
      <c r="L168">
        <v>6</v>
      </c>
      <c r="M168">
        <v>182</v>
      </c>
    </row>
    <row r="169" spans="1:13" x14ac:dyDescent="0.35">
      <c r="A169" s="6">
        <v>45300</v>
      </c>
      <c r="B169" t="s">
        <v>37</v>
      </c>
      <c r="C169" t="s">
        <v>41</v>
      </c>
      <c r="D169" t="s">
        <v>9</v>
      </c>
      <c r="E169">
        <v>23</v>
      </c>
      <c r="F169">
        <v>8589</v>
      </c>
      <c r="G169">
        <v>5</v>
      </c>
      <c r="H169">
        <v>187670</v>
      </c>
      <c r="I169">
        <v>2024</v>
      </c>
      <c r="J169">
        <v>1</v>
      </c>
      <c r="K169">
        <v>1</v>
      </c>
      <c r="L169">
        <v>2</v>
      </c>
      <c r="M169">
        <v>9</v>
      </c>
    </row>
    <row r="170" spans="1:13" x14ac:dyDescent="0.35">
      <c r="A170" s="6">
        <v>45558</v>
      </c>
      <c r="B170" t="s">
        <v>58</v>
      </c>
      <c r="C170" t="s">
        <v>40</v>
      </c>
      <c r="D170" t="s">
        <v>53</v>
      </c>
      <c r="E170">
        <v>2</v>
      </c>
      <c r="F170">
        <v>916</v>
      </c>
      <c r="G170">
        <v>16</v>
      </c>
      <c r="H170">
        <v>1832</v>
      </c>
      <c r="I170">
        <v>2024</v>
      </c>
      <c r="J170">
        <v>9</v>
      </c>
      <c r="K170">
        <v>3</v>
      </c>
      <c r="L170">
        <v>4</v>
      </c>
      <c r="M170">
        <v>267</v>
      </c>
    </row>
    <row r="171" spans="1:13" x14ac:dyDescent="0.35">
      <c r="A171" s="6">
        <v>45443</v>
      </c>
      <c r="B171" t="s">
        <v>33</v>
      </c>
      <c r="C171" t="s">
        <v>11</v>
      </c>
      <c r="D171" t="s">
        <v>30</v>
      </c>
      <c r="E171">
        <v>25</v>
      </c>
      <c r="F171">
        <v>3489</v>
      </c>
      <c r="G171">
        <v>10</v>
      </c>
      <c r="H171">
        <v>78502</v>
      </c>
      <c r="I171">
        <v>2024</v>
      </c>
      <c r="J171">
        <v>5</v>
      </c>
      <c r="K171">
        <v>2</v>
      </c>
      <c r="L171">
        <v>5</v>
      </c>
      <c r="M171">
        <v>152</v>
      </c>
    </row>
    <row r="172" spans="1:13" x14ac:dyDescent="0.35">
      <c r="A172" s="6">
        <v>45619</v>
      </c>
      <c r="B172" t="s">
        <v>89</v>
      </c>
      <c r="C172" t="s">
        <v>25</v>
      </c>
      <c r="D172" t="s">
        <v>23</v>
      </c>
      <c r="E172">
        <v>7</v>
      </c>
      <c r="F172">
        <v>50161</v>
      </c>
      <c r="G172">
        <v>0</v>
      </c>
      <c r="H172">
        <v>351127</v>
      </c>
      <c r="I172">
        <v>2024</v>
      </c>
      <c r="J172">
        <v>11</v>
      </c>
      <c r="K172">
        <v>4</v>
      </c>
      <c r="L172">
        <v>4</v>
      </c>
      <c r="M172">
        <v>328</v>
      </c>
    </row>
    <row r="173" spans="1:13" x14ac:dyDescent="0.35">
      <c r="A173" s="6">
        <v>45365</v>
      </c>
      <c r="B173" t="s">
        <v>12</v>
      </c>
      <c r="C173" t="s">
        <v>40</v>
      </c>
      <c r="D173" t="s">
        <v>14</v>
      </c>
      <c r="E173">
        <v>29</v>
      </c>
      <c r="F173">
        <v>3619</v>
      </c>
      <c r="G173">
        <v>16</v>
      </c>
      <c r="H173">
        <v>104951</v>
      </c>
      <c r="I173">
        <v>2024</v>
      </c>
      <c r="J173">
        <v>3</v>
      </c>
      <c r="K173">
        <v>1</v>
      </c>
      <c r="L173">
        <v>3</v>
      </c>
      <c r="M173">
        <v>74</v>
      </c>
    </row>
    <row r="174" spans="1:13" x14ac:dyDescent="0.35">
      <c r="A174" s="6">
        <v>45368</v>
      </c>
      <c r="B174" t="s">
        <v>43</v>
      </c>
      <c r="C174" t="s">
        <v>36</v>
      </c>
      <c r="D174" t="s">
        <v>32</v>
      </c>
      <c r="E174">
        <v>23</v>
      </c>
      <c r="F174">
        <v>5533</v>
      </c>
      <c r="G174">
        <v>20</v>
      </c>
      <c r="H174">
        <v>101807</v>
      </c>
      <c r="I174">
        <v>2024</v>
      </c>
      <c r="J174">
        <v>3</v>
      </c>
      <c r="K174">
        <v>1</v>
      </c>
      <c r="L174">
        <v>4</v>
      </c>
      <c r="M174">
        <v>77</v>
      </c>
    </row>
    <row r="175" spans="1:13" x14ac:dyDescent="0.35">
      <c r="A175" s="6">
        <v>45467</v>
      </c>
      <c r="B175" t="s">
        <v>29</v>
      </c>
      <c r="C175" t="s">
        <v>34</v>
      </c>
      <c r="D175" t="s">
        <v>23</v>
      </c>
      <c r="E175">
        <v>20</v>
      </c>
      <c r="F175">
        <v>50838</v>
      </c>
      <c r="G175">
        <v>10</v>
      </c>
      <c r="H175">
        <v>915084</v>
      </c>
      <c r="I175">
        <v>2024</v>
      </c>
      <c r="J175">
        <v>6</v>
      </c>
      <c r="K175">
        <v>2</v>
      </c>
      <c r="L175">
        <v>5</v>
      </c>
      <c r="M175">
        <v>176</v>
      </c>
    </row>
    <row r="176" spans="1:13" x14ac:dyDescent="0.35">
      <c r="A176" s="6">
        <v>45503</v>
      </c>
      <c r="B176" t="s">
        <v>22</v>
      </c>
      <c r="C176" t="s">
        <v>25</v>
      </c>
      <c r="D176" t="s">
        <v>21</v>
      </c>
      <c r="E176">
        <v>26</v>
      </c>
      <c r="F176">
        <v>4467</v>
      </c>
      <c r="G176">
        <v>16</v>
      </c>
      <c r="H176">
        <v>116142</v>
      </c>
      <c r="I176">
        <v>2024</v>
      </c>
      <c r="J176">
        <v>7</v>
      </c>
      <c r="K176">
        <v>3</v>
      </c>
      <c r="L176">
        <v>5</v>
      </c>
      <c r="M176">
        <v>212</v>
      </c>
    </row>
    <row r="177" spans="1:13" x14ac:dyDescent="0.35">
      <c r="A177" s="6">
        <v>45326</v>
      </c>
      <c r="B177" t="s">
        <v>48</v>
      </c>
      <c r="C177" t="s">
        <v>36</v>
      </c>
      <c r="D177" t="s">
        <v>14</v>
      </c>
      <c r="E177">
        <v>16</v>
      </c>
      <c r="F177">
        <v>385</v>
      </c>
      <c r="G177">
        <v>16</v>
      </c>
      <c r="H177">
        <v>6545</v>
      </c>
      <c r="I177">
        <v>2024</v>
      </c>
      <c r="J177">
        <v>2</v>
      </c>
      <c r="K177">
        <v>1</v>
      </c>
      <c r="L177">
        <v>2</v>
      </c>
      <c r="M177">
        <v>35</v>
      </c>
    </row>
    <row r="178" spans="1:13" x14ac:dyDescent="0.35">
      <c r="A178" s="6">
        <v>45575</v>
      </c>
      <c r="B178" t="s">
        <v>50</v>
      </c>
      <c r="C178" t="s">
        <v>41</v>
      </c>
      <c r="D178" t="s">
        <v>42</v>
      </c>
      <c r="E178">
        <v>9</v>
      </c>
      <c r="F178">
        <v>19233</v>
      </c>
      <c r="G178">
        <v>16</v>
      </c>
      <c r="H178">
        <v>173097</v>
      </c>
      <c r="I178">
        <v>2024</v>
      </c>
      <c r="J178">
        <v>10</v>
      </c>
      <c r="K178">
        <v>4</v>
      </c>
      <c r="L178">
        <v>2</v>
      </c>
      <c r="M178">
        <v>284</v>
      </c>
    </row>
    <row r="179" spans="1:13" x14ac:dyDescent="0.35">
      <c r="A179" s="6">
        <v>45363</v>
      </c>
      <c r="B179" t="s">
        <v>58</v>
      </c>
      <c r="C179" t="s">
        <v>20</v>
      </c>
      <c r="D179" t="s">
        <v>14</v>
      </c>
      <c r="E179">
        <v>2</v>
      </c>
      <c r="F179">
        <v>3750</v>
      </c>
      <c r="G179">
        <v>0</v>
      </c>
      <c r="H179">
        <v>7500</v>
      </c>
      <c r="I179">
        <v>2024</v>
      </c>
      <c r="J179">
        <v>3</v>
      </c>
      <c r="K179">
        <v>1</v>
      </c>
      <c r="L179">
        <v>3</v>
      </c>
      <c r="M179">
        <v>72</v>
      </c>
    </row>
    <row r="180" spans="1:13" x14ac:dyDescent="0.35">
      <c r="A180" s="6">
        <v>45442</v>
      </c>
      <c r="B180" t="s">
        <v>51</v>
      </c>
      <c r="C180" t="s">
        <v>13</v>
      </c>
      <c r="D180" t="s">
        <v>19</v>
      </c>
      <c r="E180">
        <v>21</v>
      </c>
      <c r="F180">
        <v>13853</v>
      </c>
      <c r="G180">
        <v>20</v>
      </c>
      <c r="H180">
        <v>232730</v>
      </c>
      <c r="I180">
        <v>2024</v>
      </c>
      <c r="J180">
        <v>5</v>
      </c>
      <c r="K180">
        <v>2</v>
      </c>
      <c r="L180">
        <v>5</v>
      </c>
      <c r="M180">
        <v>151</v>
      </c>
    </row>
    <row r="181" spans="1:13" x14ac:dyDescent="0.35">
      <c r="A181" s="6">
        <v>45515</v>
      </c>
      <c r="B181" t="s">
        <v>55</v>
      </c>
      <c r="C181" t="s">
        <v>34</v>
      </c>
      <c r="D181" t="s">
        <v>17</v>
      </c>
      <c r="E181">
        <v>10</v>
      </c>
      <c r="F181">
        <v>527</v>
      </c>
      <c r="G181">
        <v>16</v>
      </c>
      <c r="H181">
        <v>5270</v>
      </c>
      <c r="I181">
        <v>2024</v>
      </c>
      <c r="J181">
        <v>8</v>
      </c>
      <c r="K181">
        <v>3</v>
      </c>
      <c r="L181">
        <v>3</v>
      </c>
      <c r="M181">
        <v>224</v>
      </c>
    </row>
    <row r="182" spans="1:13" x14ac:dyDescent="0.35">
      <c r="A182" s="6">
        <v>45561</v>
      </c>
      <c r="B182" t="s">
        <v>29</v>
      </c>
      <c r="C182" t="s">
        <v>41</v>
      </c>
      <c r="D182" t="s">
        <v>17</v>
      </c>
      <c r="E182">
        <v>28</v>
      </c>
      <c r="F182">
        <v>2687</v>
      </c>
      <c r="G182">
        <v>15</v>
      </c>
      <c r="H182">
        <v>63951</v>
      </c>
      <c r="I182">
        <v>2024</v>
      </c>
      <c r="J182">
        <v>9</v>
      </c>
      <c r="K182">
        <v>3</v>
      </c>
      <c r="L182">
        <v>4</v>
      </c>
      <c r="M182">
        <v>270</v>
      </c>
    </row>
    <row r="183" spans="1:13" x14ac:dyDescent="0.35">
      <c r="A183" s="6">
        <v>45570</v>
      </c>
      <c r="B183" t="s">
        <v>55</v>
      </c>
      <c r="C183" t="s">
        <v>16</v>
      </c>
      <c r="D183" t="s">
        <v>9</v>
      </c>
      <c r="E183">
        <v>14</v>
      </c>
      <c r="F183">
        <v>6703</v>
      </c>
      <c r="G183">
        <v>20</v>
      </c>
      <c r="H183">
        <v>75074</v>
      </c>
      <c r="I183">
        <v>2024</v>
      </c>
      <c r="J183">
        <v>10</v>
      </c>
      <c r="K183">
        <v>4</v>
      </c>
      <c r="L183">
        <v>1</v>
      </c>
      <c r="M183">
        <v>279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8D048-BF6F-440D-AFD4-37F57A8AD011}">
  <dimension ref="A3:B80"/>
  <sheetViews>
    <sheetView topLeftCell="A46" workbookViewId="0">
      <selection activeCell="A69" sqref="A69:B80"/>
    </sheetView>
  </sheetViews>
  <sheetFormatPr defaultRowHeight="14.5" x14ac:dyDescent="0.35"/>
  <cols>
    <col min="1" max="1" width="12.36328125" bestFit="1" customWidth="1"/>
    <col min="2" max="2" width="15.6328125" bestFit="1" customWidth="1"/>
  </cols>
  <sheetData>
    <row r="3" spans="1:2" x14ac:dyDescent="0.35">
      <c r="A3" s="7" t="s">
        <v>95</v>
      </c>
      <c r="B3" t="s">
        <v>97</v>
      </c>
    </row>
    <row r="4" spans="1:2" x14ac:dyDescent="0.35">
      <c r="A4" s="8" t="s">
        <v>40</v>
      </c>
      <c r="B4" s="9">
        <v>302</v>
      </c>
    </row>
    <row r="5" spans="1:2" x14ac:dyDescent="0.35">
      <c r="A5" s="8" t="s">
        <v>34</v>
      </c>
      <c r="B5" s="9">
        <v>317</v>
      </c>
    </row>
    <row r="6" spans="1:2" x14ac:dyDescent="0.35">
      <c r="A6" s="8" t="s">
        <v>16</v>
      </c>
      <c r="B6" s="9">
        <v>337</v>
      </c>
    </row>
    <row r="7" spans="1:2" x14ac:dyDescent="0.35">
      <c r="A7" s="8" t="s">
        <v>13</v>
      </c>
      <c r="B7" s="9">
        <v>280</v>
      </c>
    </row>
    <row r="8" spans="1:2" x14ac:dyDescent="0.35">
      <c r="A8" s="8" t="s">
        <v>25</v>
      </c>
      <c r="B8" s="9">
        <v>252</v>
      </c>
    </row>
    <row r="9" spans="1:2" x14ac:dyDescent="0.35">
      <c r="A9" s="8" t="s">
        <v>11</v>
      </c>
      <c r="B9" s="9">
        <v>350</v>
      </c>
    </row>
    <row r="10" spans="1:2" x14ac:dyDescent="0.35">
      <c r="A10" s="8" t="s">
        <v>41</v>
      </c>
      <c r="B10" s="9">
        <v>356</v>
      </c>
    </row>
    <row r="11" spans="1:2" x14ac:dyDescent="0.35">
      <c r="A11" s="8" t="s">
        <v>20</v>
      </c>
      <c r="B11" s="9">
        <v>418</v>
      </c>
    </row>
    <row r="12" spans="1:2" x14ac:dyDescent="0.35">
      <c r="A12" s="8" t="s">
        <v>89</v>
      </c>
      <c r="B12" s="9">
        <v>149</v>
      </c>
    </row>
    <row r="13" spans="1:2" x14ac:dyDescent="0.35">
      <c r="A13" s="8" t="s">
        <v>36</v>
      </c>
      <c r="B13" s="9">
        <v>178</v>
      </c>
    </row>
    <row r="14" spans="1:2" x14ac:dyDescent="0.35">
      <c r="A14" s="8" t="s">
        <v>96</v>
      </c>
      <c r="B14" s="9">
        <v>2939</v>
      </c>
    </row>
    <row r="18" spans="1:2" x14ac:dyDescent="0.35">
      <c r="A18" s="7" t="s">
        <v>95</v>
      </c>
      <c r="B18" t="s">
        <v>98</v>
      </c>
    </row>
    <row r="19" spans="1:2" x14ac:dyDescent="0.35">
      <c r="A19" s="8">
        <v>1</v>
      </c>
      <c r="B19" s="9">
        <v>7608971</v>
      </c>
    </row>
    <row r="20" spans="1:2" x14ac:dyDescent="0.35">
      <c r="A20" s="8">
        <v>2</v>
      </c>
      <c r="B20" s="9">
        <v>8139097</v>
      </c>
    </row>
    <row r="21" spans="1:2" x14ac:dyDescent="0.35">
      <c r="A21" s="8">
        <v>3</v>
      </c>
      <c r="B21" s="9">
        <v>8409785</v>
      </c>
    </row>
    <row r="22" spans="1:2" x14ac:dyDescent="0.35">
      <c r="A22" s="8">
        <v>4</v>
      </c>
      <c r="B22" s="9">
        <v>7287645</v>
      </c>
    </row>
    <row r="23" spans="1:2" x14ac:dyDescent="0.35">
      <c r="A23" s="8" t="s">
        <v>96</v>
      </c>
      <c r="B23" s="9">
        <v>31445498</v>
      </c>
    </row>
    <row r="30" spans="1:2" x14ac:dyDescent="0.35">
      <c r="A30" s="7" t="s">
        <v>95</v>
      </c>
      <c r="B30" t="s">
        <v>101</v>
      </c>
    </row>
    <row r="31" spans="1:2" x14ac:dyDescent="0.35">
      <c r="A31" s="8" t="s">
        <v>53</v>
      </c>
      <c r="B31" s="9">
        <v>27436</v>
      </c>
    </row>
    <row r="32" spans="1:2" x14ac:dyDescent="0.35">
      <c r="A32" s="8" t="s">
        <v>32</v>
      </c>
      <c r="B32" s="9">
        <v>56831</v>
      </c>
    </row>
    <row r="33" spans="1:2" x14ac:dyDescent="0.35">
      <c r="A33" s="8" t="s">
        <v>30</v>
      </c>
      <c r="B33" s="9">
        <v>25065</v>
      </c>
    </row>
    <row r="34" spans="1:2" x14ac:dyDescent="0.35">
      <c r="A34" s="8" t="s">
        <v>23</v>
      </c>
      <c r="B34" s="9">
        <v>942412</v>
      </c>
    </row>
    <row r="35" spans="1:2" x14ac:dyDescent="0.35">
      <c r="A35" s="8" t="s">
        <v>19</v>
      </c>
      <c r="B35" s="9">
        <v>209477</v>
      </c>
    </row>
    <row r="36" spans="1:2" x14ac:dyDescent="0.35">
      <c r="A36" s="8" t="s">
        <v>14</v>
      </c>
      <c r="B36" s="9">
        <v>40390</v>
      </c>
    </row>
    <row r="37" spans="1:2" x14ac:dyDescent="0.35">
      <c r="A37" s="8" t="s">
        <v>9</v>
      </c>
      <c r="B37" s="9">
        <v>154338</v>
      </c>
    </row>
    <row r="38" spans="1:2" x14ac:dyDescent="0.35">
      <c r="A38" s="8" t="s">
        <v>17</v>
      </c>
      <c r="B38" s="9">
        <v>62862</v>
      </c>
    </row>
    <row r="39" spans="1:2" x14ac:dyDescent="0.35">
      <c r="A39" s="8" t="s">
        <v>38</v>
      </c>
      <c r="B39" s="9">
        <v>223254</v>
      </c>
    </row>
    <row r="40" spans="1:2" x14ac:dyDescent="0.35">
      <c r="A40" s="8" t="s">
        <v>28</v>
      </c>
      <c r="B40" s="9">
        <v>48859</v>
      </c>
    </row>
    <row r="41" spans="1:2" x14ac:dyDescent="0.35">
      <c r="A41" s="8" t="s">
        <v>42</v>
      </c>
      <c r="B41" s="9">
        <v>236496</v>
      </c>
    </row>
    <row r="42" spans="1:2" x14ac:dyDescent="0.35">
      <c r="A42" s="8" t="s">
        <v>21</v>
      </c>
      <c r="B42" s="9">
        <v>37494</v>
      </c>
    </row>
    <row r="43" spans="1:2" x14ac:dyDescent="0.35">
      <c r="A43" s="8" t="s">
        <v>96</v>
      </c>
      <c r="B43" s="9">
        <v>2064914</v>
      </c>
    </row>
    <row r="46" spans="1:2" x14ac:dyDescent="0.35">
      <c r="A46" s="7" t="s">
        <v>95</v>
      </c>
      <c r="B46" t="s">
        <v>97</v>
      </c>
    </row>
    <row r="47" spans="1:2" x14ac:dyDescent="0.35">
      <c r="A47" s="8">
        <v>1</v>
      </c>
      <c r="B47" s="9">
        <v>687</v>
      </c>
    </row>
    <row r="48" spans="1:2" x14ac:dyDescent="0.35">
      <c r="A48" s="8">
        <v>2</v>
      </c>
      <c r="B48" s="9">
        <v>706</v>
      </c>
    </row>
    <row r="49" spans="1:2" x14ac:dyDescent="0.35">
      <c r="A49" s="8">
        <v>3</v>
      </c>
      <c r="B49" s="9">
        <v>757</v>
      </c>
    </row>
    <row r="50" spans="1:2" x14ac:dyDescent="0.35">
      <c r="A50" s="8">
        <v>4</v>
      </c>
      <c r="B50" s="9">
        <v>789</v>
      </c>
    </row>
    <row r="51" spans="1:2" x14ac:dyDescent="0.35">
      <c r="A51" s="8" t="s">
        <v>96</v>
      </c>
      <c r="B51" s="9">
        <v>2939</v>
      </c>
    </row>
    <row r="69" spans="1:2" x14ac:dyDescent="0.35">
      <c r="A69" s="7" t="s">
        <v>95</v>
      </c>
      <c r="B69" t="s">
        <v>98</v>
      </c>
    </row>
    <row r="70" spans="1:2" x14ac:dyDescent="0.35">
      <c r="A70" s="8" t="s">
        <v>40</v>
      </c>
      <c r="B70" s="9">
        <v>2384945</v>
      </c>
    </row>
    <row r="71" spans="1:2" x14ac:dyDescent="0.35">
      <c r="A71" s="8" t="s">
        <v>34</v>
      </c>
      <c r="B71" s="9">
        <v>4094540</v>
      </c>
    </row>
    <row r="72" spans="1:2" x14ac:dyDescent="0.35">
      <c r="A72" s="8" t="s">
        <v>16</v>
      </c>
      <c r="B72" s="9">
        <v>1990155</v>
      </c>
    </row>
    <row r="73" spans="1:2" x14ac:dyDescent="0.35">
      <c r="A73" s="8" t="s">
        <v>13</v>
      </c>
      <c r="B73" s="9">
        <v>4071131</v>
      </c>
    </row>
    <row r="74" spans="1:2" x14ac:dyDescent="0.35">
      <c r="A74" s="8" t="s">
        <v>25</v>
      </c>
      <c r="B74" s="9">
        <v>3248425</v>
      </c>
    </row>
    <row r="75" spans="1:2" x14ac:dyDescent="0.35">
      <c r="A75" s="8" t="s">
        <v>11</v>
      </c>
      <c r="B75" s="9">
        <v>3584302</v>
      </c>
    </row>
    <row r="76" spans="1:2" x14ac:dyDescent="0.35">
      <c r="A76" s="8" t="s">
        <v>41</v>
      </c>
      <c r="B76" s="9">
        <v>3028564</v>
      </c>
    </row>
    <row r="77" spans="1:2" x14ac:dyDescent="0.35">
      <c r="A77" s="8" t="s">
        <v>20</v>
      </c>
      <c r="B77" s="9">
        <v>5433274</v>
      </c>
    </row>
    <row r="78" spans="1:2" x14ac:dyDescent="0.35">
      <c r="A78" s="8" t="s">
        <v>89</v>
      </c>
      <c r="B78" s="9">
        <v>2241375</v>
      </c>
    </row>
    <row r="79" spans="1:2" x14ac:dyDescent="0.35">
      <c r="A79" s="8" t="s">
        <v>36</v>
      </c>
      <c r="B79" s="9">
        <v>1368787</v>
      </c>
    </row>
    <row r="80" spans="1:2" x14ac:dyDescent="0.35">
      <c r="A80" s="8" t="s">
        <v>96</v>
      </c>
      <c r="B80" s="9">
        <v>31445498</v>
      </c>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05DA0-A623-41A9-9879-3102CC44A7E7}">
  <dimension ref="A1:M181"/>
  <sheetViews>
    <sheetView workbookViewId="0">
      <selection sqref="A1:M181"/>
    </sheetView>
  </sheetViews>
  <sheetFormatPr defaultRowHeight="14.5" x14ac:dyDescent="0.35"/>
  <cols>
    <col min="1" max="1" width="10.453125" bestFit="1" customWidth="1"/>
    <col min="2" max="2" width="11.26953125" bestFit="1" customWidth="1"/>
    <col min="3" max="3" width="9.54296875" bestFit="1" customWidth="1"/>
    <col min="4" max="4" width="11.36328125" bestFit="1" customWidth="1"/>
    <col min="5" max="5" width="10.453125" bestFit="1" customWidth="1"/>
    <col min="6" max="6" width="10.7265625" bestFit="1" customWidth="1"/>
    <col min="7" max="7" width="11.90625" bestFit="1" customWidth="1"/>
    <col min="8" max="8" width="11.54296875" bestFit="1" customWidth="1"/>
    <col min="9" max="9" width="6.81640625" bestFit="1" customWidth="1"/>
    <col min="10" max="10" width="8.81640625" bestFit="1" customWidth="1"/>
    <col min="11" max="11" width="9.7265625" bestFit="1" customWidth="1"/>
    <col min="12" max="12" width="16.36328125" bestFit="1" customWidth="1"/>
    <col min="13" max="13" width="12.6328125" bestFit="1" customWidth="1"/>
  </cols>
  <sheetData>
    <row r="1" spans="1:13" x14ac:dyDescent="0.35">
      <c r="A1" t="s">
        <v>0</v>
      </c>
      <c r="B1" t="s">
        <v>1</v>
      </c>
      <c r="C1" t="s">
        <v>2</v>
      </c>
      <c r="D1" t="s">
        <v>3</v>
      </c>
      <c r="E1" t="s">
        <v>4</v>
      </c>
      <c r="F1" t="s">
        <v>5</v>
      </c>
      <c r="G1" t="s">
        <v>6</v>
      </c>
      <c r="H1" t="s">
        <v>7</v>
      </c>
      <c r="I1" t="s">
        <v>90</v>
      </c>
      <c r="J1" t="s">
        <v>91</v>
      </c>
      <c r="K1" t="s">
        <v>92</v>
      </c>
      <c r="L1" t="s">
        <v>93</v>
      </c>
      <c r="M1" t="s">
        <v>94</v>
      </c>
    </row>
    <row r="2" spans="1:13" x14ac:dyDescent="0.35">
      <c r="A2" s="6">
        <v>45607</v>
      </c>
      <c r="B2" t="s">
        <v>8</v>
      </c>
      <c r="C2" t="s">
        <v>89</v>
      </c>
      <c r="D2" t="s">
        <v>9</v>
      </c>
      <c r="E2">
        <v>7</v>
      </c>
      <c r="F2">
        <v>6060</v>
      </c>
      <c r="G2">
        <v>10</v>
      </c>
      <c r="H2">
        <v>38178</v>
      </c>
      <c r="I2">
        <v>2024</v>
      </c>
      <c r="J2">
        <v>11</v>
      </c>
      <c r="K2">
        <v>4</v>
      </c>
      <c r="L2">
        <v>3</v>
      </c>
      <c r="M2">
        <v>316</v>
      </c>
    </row>
    <row r="3" spans="1:13" x14ac:dyDescent="0.35">
      <c r="A3" s="6">
        <v>45403</v>
      </c>
      <c r="B3" t="s">
        <v>10</v>
      </c>
      <c r="C3" t="s">
        <v>11</v>
      </c>
      <c r="D3" t="s">
        <v>9</v>
      </c>
      <c r="E3">
        <v>28</v>
      </c>
      <c r="F3">
        <v>6928</v>
      </c>
      <c r="G3">
        <v>20</v>
      </c>
      <c r="H3">
        <v>155187</v>
      </c>
      <c r="I3">
        <v>2024</v>
      </c>
      <c r="J3">
        <v>4</v>
      </c>
      <c r="K3">
        <v>2</v>
      </c>
      <c r="L3">
        <v>4</v>
      </c>
      <c r="M3">
        <v>112</v>
      </c>
    </row>
    <row r="4" spans="1:13" x14ac:dyDescent="0.35">
      <c r="A4" s="6">
        <v>45407</v>
      </c>
      <c r="B4" t="s">
        <v>12</v>
      </c>
      <c r="C4" t="s">
        <v>13</v>
      </c>
      <c r="D4" t="s">
        <v>14</v>
      </c>
      <c r="E4">
        <v>23</v>
      </c>
      <c r="F4">
        <v>1599</v>
      </c>
      <c r="G4">
        <v>16</v>
      </c>
      <c r="H4">
        <v>36777</v>
      </c>
      <c r="I4">
        <v>2024</v>
      </c>
      <c r="J4">
        <v>4</v>
      </c>
      <c r="K4">
        <v>2</v>
      </c>
      <c r="L4">
        <v>4</v>
      </c>
      <c r="M4">
        <v>116</v>
      </c>
    </row>
    <row r="5" spans="1:13" x14ac:dyDescent="0.35">
      <c r="A5" s="6">
        <v>45598</v>
      </c>
      <c r="B5" t="s">
        <v>15</v>
      </c>
      <c r="C5" t="s">
        <v>16</v>
      </c>
      <c r="D5" t="s">
        <v>17</v>
      </c>
      <c r="E5">
        <v>24</v>
      </c>
      <c r="F5">
        <v>1477</v>
      </c>
      <c r="G5">
        <v>20</v>
      </c>
      <c r="H5">
        <v>28358</v>
      </c>
      <c r="I5">
        <v>2024</v>
      </c>
      <c r="J5">
        <v>11</v>
      </c>
      <c r="K5">
        <v>4</v>
      </c>
      <c r="L5">
        <v>1</v>
      </c>
      <c r="M5">
        <v>307</v>
      </c>
    </row>
    <row r="6" spans="1:13" x14ac:dyDescent="0.35">
      <c r="A6" s="6">
        <v>45501</v>
      </c>
      <c r="B6" t="s">
        <v>18</v>
      </c>
      <c r="C6" t="s">
        <v>89</v>
      </c>
      <c r="D6" t="s">
        <v>19</v>
      </c>
      <c r="E6">
        <v>4</v>
      </c>
      <c r="F6">
        <v>14176</v>
      </c>
      <c r="G6">
        <v>0</v>
      </c>
      <c r="H6">
        <v>56704</v>
      </c>
      <c r="I6">
        <v>2024</v>
      </c>
      <c r="J6">
        <v>7</v>
      </c>
      <c r="K6">
        <v>3</v>
      </c>
      <c r="L6">
        <v>5</v>
      </c>
      <c r="M6">
        <v>210</v>
      </c>
    </row>
    <row r="7" spans="1:13" x14ac:dyDescent="0.35">
      <c r="A7" s="6">
        <v>45611</v>
      </c>
      <c r="B7" t="s">
        <v>89</v>
      </c>
      <c r="C7" t="s">
        <v>20</v>
      </c>
      <c r="D7" t="s">
        <v>21</v>
      </c>
      <c r="E7">
        <v>10</v>
      </c>
      <c r="F7">
        <v>49</v>
      </c>
      <c r="G7">
        <v>15</v>
      </c>
      <c r="H7">
        <v>416</v>
      </c>
      <c r="I7">
        <v>2024</v>
      </c>
      <c r="J7">
        <v>11</v>
      </c>
      <c r="K7">
        <v>4</v>
      </c>
      <c r="L7">
        <v>3</v>
      </c>
      <c r="M7">
        <v>320</v>
      </c>
    </row>
    <row r="8" spans="1:13" x14ac:dyDescent="0.35">
      <c r="A8" s="6">
        <v>45419</v>
      </c>
      <c r="B8" t="s">
        <v>10</v>
      </c>
      <c r="C8" t="s">
        <v>16</v>
      </c>
      <c r="D8" t="s">
        <v>21</v>
      </c>
      <c r="E8">
        <v>15</v>
      </c>
      <c r="F8">
        <v>5091</v>
      </c>
      <c r="G8">
        <v>16</v>
      </c>
      <c r="H8">
        <v>75390</v>
      </c>
      <c r="I8">
        <v>2024</v>
      </c>
      <c r="J8">
        <v>5</v>
      </c>
      <c r="K8">
        <v>2</v>
      </c>
      <c r="L8">
        <v>2</v>
      </c>
      <c r="M8">
        <v>128</v>
      </c>
    </row>
    <row r="9" spans="1:13" x14ac:dyDescent="0.35">
      <c r="A9" s="6">
        <v>45330</v>
      </c>
      <c r="B9" t="s">
        <v>22</v>
      </c>
      <c r="C9" t="s">
        <v>13</v>
      </c>
      <c r="D9" t="s">
        <v>23</v>
      </c>
      <c r="E9">
        <v>16</v>
      </c>
      <c r="F9">
        <v>52159</v>
      </c>
      <c r="G9">
        <v>0</v>
      </c>
      <c r="H9">
        <v>834544</v>
      </c>
      <c r="I9">
        <v>2024</v>
      </c>
      <c r="J9">
        <v>2</v>
      </c>
      <c r="K9">
        <v>1</v>
      </c>
      <c r="L9">
        <v>2</v>
      </c>
      <c r="M9">
        <v>39</v>
      </c>
    </row>
    <row r="10" spans="1:13" x14ac:dyDescent="0.35">
      <c r="A10" s="6">
        <v>45382</v>
      </c>
      <c r="B10" t="s">
        <v>24</v>
      </c>
      <c r="C10" t="s">
        <v>25</v>
      </c>
      <c r="D10" t="s">
        <v>9</v>
      </c>
      <c r="E10">
        <v>19</v>
      </c>
      <c r="F10">
        <v>10321</v>
      </c>
      <c r="G10">
        <v>10</v>
      </c>
      <c r="H10">
        <v>176489</v>
      </c>
      <c r="I10">
        <v>2024</v>
      </c>
      <c r="J10">
        <v>3</v>
      </c>
      <c r="K10">
        <v>1</v>
      </c>
      <c r="L10">
        <v>6</v>
      </c>
      <c r="M10">
        <v>91</v>
      </c>
    </row>
    <row r="11" spans="1:13" x14ac:dyDescent="0.35">
      <c r="A11" s="6">
        <v>45302</v>
      </c>
      <c r="B11" t="s">
        <v>26</v>
      </c>
      <c r="C11" t="s">
        <v>25</v>
      </c>
      <c r="D11" t="s">
        <v>17</v>
      </c>
      <c r="E11">
        <v>7</v>
      </c>
      <c r="F11">
        <v>6405</v>
      </c>
      <c r="G11">
        <v>16</v>
      </c>
      <c r="H11">
        <v>44835</v>
      </c>
      <c r="I11">
        <v>2024</v>
      </c>
      <c r="J11">
        <v>1</v>
      </c>
      <c r="K11">
        <v>1</v>
      </c>
      <c r="L11">
        <v>2</v>
      </c>
      <c r="M11">
        <v>11</v>
      </c>
    </row>
    <row r="12" spans="1:13" x14ac:dyDescent="0.35">
      <c r="A12" s="6">
        <v>45607</v>
      </c>
      <c r="B12" t="s">
        <v>27</v>
      </c>
      <c r="C12" t="s">
        <v>13</v>
      </c>
      <c r="D12" t="s">
        <v>28</v>
      </c>
      <c r="E12">
        <v>3</v>
      </c>
      <c r="F12">
        <v>1185</v>
      </c>
      <c r="G12">
        <v>15</v>
      </c>
      <c r="H12">
        <v>3022</v>
      </c>
      <c r="I12">
        <v>2024</v>
      </c>
      <c r="J12">
        <v>11</v>
      </c>
      <c r="K12">
        <v>4</v>
      </c>
      <c r="L12">
        <v>3</v>
      </c>
      <c r="M12">
        <v>316</v>
      </c>
    </row>
    <row r="13" spans="1:13" x14ac:dyDescent="0.35">
      <c r="A13" s="6">
        <v>45645</v>
      </c>
      <c r="B13" t="s">
        <v>29</v>
      </c>
      <c r="C13" t="s">
        <v>20</v>
      </c>
      <c r="D13" t="s">
        <v>30</v>
      </c>
      <c r="E13">
        <v>15</v>
      </c>
      <c r="F13">
        <v>1387</v>
      </c>
      <c r="G13">
        <v>15</v>
      </c>
      <c r="H13">
        <v>17684</v>
      </c>
      <c r="I13">
        <v>2024</v>
      </c>
      <c r="J13">
        <v>12</v>
      </c>
      <c r="K13">
        <v>4</v>
      </c>
      <c r="L13">
        <v>3</v>
      </c>
      <c r="M13">
        <v>354</v>
      </c>
    </row>
    <row r="14" spans="1:13" x14ac:dyDescent="0.35">
      <c r="A14" s="6">
        <v>45530</v>
      </c>
      <c r="B14" t="s">
        <v>31</v>
      </c>
      <c r="C14" t="s">
        <v>16</v>
      </c>
      <c r="D14" t="s">
        <v>28</v>
      </c>
      <c r="E14">
        <v>24</v>
      </c>
      <c r="F14">
        <v>1672</v>
      </c>
      <c r="G14">
        <v>20</v>
      </c>
      <c r="H14">
        <v>32102</v>
      </c>
      <c r="I14">
        <v>2024</v>
      </c>
      <c r="J14">
        <v>8</v>
      </c>
      <c r="K14">
        <v>3</v>
      </c>
      <c r="L14">
        <v>5</v>
      </c>
      <c r="M14">
        <v>239</v>
      </c>
    </row>
    <row r="15" spans="1:13" x14ac:dyDescent="0.35">
      <c r="A15" s="6">
        <v>45629</v>
      </c>
      <c r="B15" t="s">
        <v>24</v>
      </c>
      <c r="C15" t="s">
        <v>16</v>
      </c>
      <c r="D15" t="s">
        <v>32</v>
      </c>
      <c r="E15">
        <v>27</v>
      </c>
      <c r="F15">
        <v>1079</v>
      </c>
      <c r="G15">
        <v>10</v>
      </c>
      <c r="H15">
        <v>26220</v>
      </c>
      <c r="I15">
        <v>2024</v>
      </c>
      <c r="J15">
        <v>12</v>
      </c>
      <c r="K15">
        <v>4</v>
      </c>
      <c r="L15">
        <v>1</v>
      </c>
      <c r="M15">
        <v>338</v>
      </c>
    </row>
    <row r="16" spans="1:13" x14ac:dyDescent="0.35">
      <c r="A16" s="6">
        <v>45634</v>
      </c>
      <c r="B16" t="s">
        <v>33</v>
      </c>
      <c r="C16" t="s">
        <v>89</v>
      </c>
      <c r="D16" t="s">
        <v>9</v>
      </c>
      <c r="E16">
        <v>20</v>
      </c>
      <c r="F16">
        <v>10859</v>
      </c>
      <c r="G16">
        <v>15</v>
      </c>
      <c r="H16">
        <v>184603</v>
      </c>
      <c r="I16">
        <v>2024</v>
      </c>
      <c r="J16">
        <v>12</v>
      </c>
      <c r="K16">
        <v>4</v>
      </c>
      <c r="L16">
        <v>2</v>
      </c>
      <c r="M16">
        <v>343</v>
      </c>
    </row>
    <row r="17" spans="1:13" x14ac:dyDescent="0.35">
      <c r="A17" s="6">
        <v>45602</v>
      </c>
      <c r="B17" t="s">
        <v>15</v>
      </c>
      <c r="C17" t="s">
        <v>34</v>
      </c>
      <c r="D17" t="s">
        <v>32</v>
      </c>
      <c r="E17">
        <v>16</v>
      </c>
      <c r="F17">
        <v>3785</v>
      </c>
      <c r="G17">
        <v>0</v>
      </c>
      <c r="H17">
        <v>60560</v>
      </c>
      <c r="I17">
        <v>2024</v>
      </c>
      <c r="J17">
        <v>11</v>
      </c>
      <c r="K17">
        <v>4</v>
      </c>
      <c r="L17">
        <v>2</v>
      </c>
      <c r="M17">
        <v>311</v>
      </c>
    </row>
    <row r="18" spans="1:13" x14ac:dyDescent="0.35">
      <c r="A18" s="6">
        <v>45394</v>
      </c>
      <c r="B18" t="s">
        <v>35</v>
      </c>
      <c r="C18" t="s">
        <v>36</v>
      </c>
      <c r="D18" t="s">
        <v>28</v>
      </c>
      <c r="E18">
        <v>11</v>
      </c>
      <c r="F18">
        <v>5025</v>
      </c>
      <c r="G18">
        <v>5</v>
      </c>
      <c r="H18">
        <v>52511</v>
      </c>
      <c r="I18">
        <v>2024</v>
      </c>
      <c r="J18">
        <v>4</v>
      </c>
      <c r="K18">
        <v>2</v>
      </c>
      <c r="L18">
        <v>2</v>
      </c>
      <c r="M18">
        <v>103</v>
      </c>
    </row>
    <row r="19" spans="1:13" x14ac:dyDescent="0.35">
      <c r="A19" s="6">
        <v>45494</v>
      </c>
      <c r="B19" t="s">
        <v>37</v>
      </c>
      <c r="C19" t="s">
        <v>34</v>
      </c>
      <c r="D19" t="s">
        <v>9</v>
      </c>
      <c r="E19">
        <v>6</v>
      </c>
      <c r="F19">
        <v>10042</v>
      </c>
      <c r="G19">
        <v>0</v>
      </c>
      <c r="H19">
        <v>60252</v>
      </c>
      <c r="I19">
        <v>2024</v>
      </c>
      <c r="J19">
        <v>7</v>
      </c>
      <c r="K19">
        <v>3</v>
      </c>
      <c r="L19">
        <v>4</v>
      </c>
      <c r="M19">
        <v>203</v>
      </c>
    </row>
    <row r="20" spans="1:13" x14ac:dyDescent="0.35">
      <c r="A20" s="6">
        <v>45445</v>
      </c>
      <c r="B20" t="s">
        <v>31</v>
      </c>
      <c r="C20" t="s">
        <v>13</v>
      </c>
      <c r="D20" t="s">
        <v>38</v>
      </c>
      <c r="E20">
        <v>17</v>
      </c>
      <c r="F20">
        <v>22568</v>
      </c>
      <c r="G20">
        <v>5</v>
      </c>
      <c r="H20">
        <v>364473</v>
      </c>
      <c r="I20">
        <v>2024</v>
      </c>
      <c r="J20">
        <v>6</v>
      </c>
      <c r="K20">
        <v>2</v>
      </c>
      <c r="L20">
        <v>2</v>
      </c>
      <c r="M20">
        <v>154</v>
      </c>
    </row>
    <row r="21" spans="1:13" x14ac:dyDescent="0.35">
      <c r="A21" s="6">
        <v>45348</v>
      </c>
      <c r="B21" t="s">
        <v>39</v>
      </c>
      <c r="C21" t="s">
        <v>40</v>
      </c>
      <c r="D21" t="s">
        <v>32</v>
      </c>
      <c r="E21">
        <v>10</v>
      </c>
      <c r="F21">
        <v>4693</v>
      </c>
      <c r="G21">
        <v>0</v>
      </c>
      <c r="H21">
        <v>46930</v>
      </c>
      <c r="I21">
        <v>2024</v>
      </c>
      <c r="J21">
        <v>2</v>
      </c>
      <c r="K21">
        <v>1</v>
      </c>
      <c r="L21">
        <v>5</v>
      </c>
      <c r="M21">
        <v>57</v>
      </c>
    </row>
    <row r="22" spans="1:13" x14ac:dyDescent="0.35">
      <c r="A22" s="6">
        <v>45336</v>
      </c>
      <c r="B22" t="s">
        <v>39</v>
      </c>
      <c r="C22" t="s">
        <v>41</v>
      </c>
      <c r="D22" t="s">
        <v>42</v>
      </c>
      <c r="E22">
        <v>12</v>
      </c>
      <c r="F22">
        <v>20551</v>
      </c>
      <c r="G22">
        <v>10</v>
      </c>
      <c r="H22">
        <v>221951</v>
      </c>
      <c r="I22">
        <v>2024</v>
      </c>
      <c r="J22">
        <v>2</v>
      </c>
      <c r="K22">
        <v>1</v>
      </c>
      <c r="L22">
        <v>3</v>
      </c>
      <c r="M22">
        <v>45</v>
      </c>
    </row>
    <row r="23" spans="1:13" x14ac:dyDescent="0.35">
      <c r="A23" s="6">
        <v>45656</v>
      </c>
      <c r="B23" t="s">
        <v>43</v>
      </c>
      <c r="C23" t="s">
        <v>11</v>
      </c>
      <c r="D23" t="s">
        <v>42</v>
      </c>
      <c r="E23">
        <v>19</v>
      </c>
      <c r="F23">
        <v>19626</v>
      </c>
      <c r="G23">
        <v>5</v>
      </c>
      <c r="H23">
        <v>354249</v>
      </c>
      <c r="I23">
        <v>2024</v>
      </c>
      <c r="J23">
        <v>12</v>
      </c>
      <c r="K23">
        <v>4</v>
      </c>
      <c r="L23">
        <v>5</v>
      </c>
      <c r="M23">
        <v>365</v>
      </c>
    </row>
    <row r="24" spans="1:13" x14ac:dyDescent="0.35">
      <c r="A24" s="6">
        <v>45592</v>
      </c>
      <c r="B24" t="s">
        <v>12</v>
      </c>
      <c r="C24" t="s">
        <v>16</v>
      </c>
      <c r="D24" t="s">
        <v>32</v>
      </c>
      <c r="E24">
        <v>13</v>
      </c>
      <c r="F24">
        <v>815</v>
      </c>
      <c r="G24">
        <v>15</v>
      </c>
      <c r="H24">
        <v>9006</v>
      </c>
      <c r="I24">
        <v>2024</v>
      </c>
      <c r="J24">
        <v>10</v>
      </c>
      <c r="K24">
        <v>4</v>
      </c>
      <c r="L24">
        <v>5</v>
      </c>
      <c r="M24">
        <v>301</v>
      </c>
    </row>
    <row r="25" spans="1:13" x14ac:dyDescent="0.35">
      <c r="A25" s="6">
        <v>45404</v>
      </c>
      <c r="B25" t="s">
        <v>44</v>
      </c>
      <c r="C25" t="s">
        <v>34</v>
      </c>
      <c r="D25" t="s">
        <v>23</v>
      </c>
      <c r="E25">
        <v>29</v>
      </c>
      <c r="F25">
        <v>48733</v>
      </c>
      <c r="G25">
        <v>10</v>
      </c>
      <c r="H25">
        <v>1271931</v>
      </c>
      <c r="I25">
        <v>2024</v>
      </c>
      <c r="J25">
        <v>4</v>
      </c>
      <c r="K25">
        <v>2</v>
      </c>
      <c r="L25">
        <v>4</v>
      </c>
      <c r="M25">
        <v>113</v>
      </c>
    </row>
    <row r="26" spans="1:13" x14ac:dyDescent="0.35">
      <c r="A26" s="6">
        <v>45457</v>
      </c>
      <c r="B26" t="s">
        <v>8</v>
      </c>
      <c r="C26" t="s">
        <v>36</v>
      </c>
      <c r="D26" t="s">
        <v>14</v>
      </c>
      <c r="E26">
        <v>1</v>
      </c>
      <c r="F26">
        <v>2351</v>
      </c>
      <c r="G26">
        <v>5</v>
      </c>
      <c r="H26">
        <v>2233</v>
      </c>
      <c r="I26">
        <v>2024</v>
      </c>
      <c r="J26">
        <v>6</v>
      </c>
      <c r="K26">
        <v>2</v>
      </c>
      <c r="L26">
        <v>3</v>
      </c>
      <c r="M26">
        <v>166</v>
      </c>
    </row>
    <row r="27" spans="1:13" x14ac:dyDescent="0.35">
      <c r="A27" s="6">
        <v>45411</v>
      </c>
      <c r="B27" t="s">
        <v>45</v>
      </c>
      <c r="C27" t="s">
        <v>36</v>
      </c>
      <c r="D27" t="s">
        <v>19</v>
      </c>
      <c r="E27">
        <v>4</v>
      </c>
      <c r="F27">
        <v>14508</v>
      </c>
      <c r="G27">
        <v>16</v>
      </c>
      <c r="H27">
        <v>58032</v>
      </c>
      <c r="I27">
        <v>2024</v>
      </c>
      <c r="J27">
        <v>4</v>
      </c>
      <c r="K27">
        <v>2</v>
      </c>
      <c r="L27">
        <v>5</v>
      </c>
      <c r="M27">
        <v>120</v>
      </c>
    </row>
    <row r="28" spans="1:13" x14ac:dyDescent="0.35">
      <c r="A28" s="6">
        <v>45303</v>
      </c>
      <c r="B28" t="s">
        <v>46</v>
      </c>
      <c r="C28" t="s">
        <v>25</v>
      </c>
      <c r="D28" t="s">
        <v>30</v>
      </c>
      <c r="E28">
        <v>3</v>
      </c>
      <c r="F28">
        <v>2830</v>
      </c>
      <c r="G28">
        <v>0</v>
      </c>
      <c r="H28">
        <v>8490</v>
      </c>
      <c r="I28">
        <v>2024</v>
      </c>
      <c r="J28">
        <v>1</v>
      </c>
      <c r="K28">
        <v>1</v>
      </c>
      <c r="L28">
        <v>2</v>
      </c>
      <c r="M28">
        <v>12</v>
      </c>
    </row>
    <row r="29" spans="1:13" x14ac:dyDescent="0.35">
      <c r="A29" s="6">
        <v>45488</v>
      </c>
      <c r="B29" t="s">
        <v>47</v>
      </c>
      <c r="C29" t="s">
        <v>13</v>
      </c>
      <c r="D29" t="s">
        <v>14</v>
      </c>
      <c r="E29">
        <v>20</v>
      </c>
      <c r="F29">
        <v>2913</v>
      </c>
      <c r="G29">
        <v>16</v>
      </c>
      <c r="H29">
        <v>58260</v>
      </c>
      <c r="I29">
        <v>2024</v>
      </c>
      <c r="J29">
        <v>7</v>
      </c>
      <c r="K29">
        <v>3</v>
      </c>
      <c r="L29">
        <v>3</v>
      </c>
      <c r="M29">
        <v>197</v>
      </c>
    </row>
    <row r="30" spans="1:13" x14ac:dyDescent="0.35">
      <c r="A30" s="6">
        <v>45447</v>
      </c>
      <c r="B30" t="s">
        <v>43</v>
      </c>
      <c r="C30" t="s">
        <v>20</v>
      </c>
      <c r="D30" t="s">
        <v>19</v>
      </c>
      <c r="E30">
        <v>23</v>
      </c>
      <c r="F30">
        <v>13198</v>
      </c>
      <c r="G30">
        <v>0</v>
      </c>
      <c r="H30">
        <v>303554</v>
      </c>
      <c r="I30">
        <v>2024</v>
      </c>
      <c r="J30">
        <v>6</v>
      </c>
      <c r="K30">
        <v>2</v>
      </c>
      <c r="L30">
        <v>2</v>
      </c>
      <c r="M30">
        <v>156</v>
      </c>
    </row>
    <row r="31" spans="1:13" x14ac:dyDescent="0.35">
      <c r="A31" s="6">
        <v>45644</v>
      </c>
      <c r="B31" t="s">
        <v>48</v>
      </c>
      <c r="C31" t="s">
        <v>11</v>
      </c>
      <c r="D31" t="s">
        <v>28</v>
      </c>
      <c r="E31">
        <v>27</v>
      </c>
      <c r="F31">
        <v>4026</v>
      </c>
      <c r="G31">
        <v>5</v>
      </c>
      <c r="H31">
        <v>103267</v>
      </c>
      <c r="I31">
        <v>2024</v>
      </c>
      <c r="J31">
        <v>12</v>
      </c>
      <c r="K31">
        <v>4</v>
      </c>
      <c r="L31">
        <v>3</v>
      </c>
      <c r="M31">
        <v>353</v>
      </c>
    </row>
    <row r="32" spans="1:13" x14ac:dyDescent="0.35">
      <c r="A32" s="6">
        <v>45606</v>
      </c>
      <c r="B32" t="s">
        <v>24</v>
      </c>
      <c r="C32" t="s">
        <v>16</v>
      </c>
      <c r="D32" t="s">
        <v>28</v>
      </c>
      <c r="E32">
        <v>20</v>
      </c>
      <c r="F32">
        <v>5343</v>
      </c>
      <c r="G32">
        <v>20</v>
      </c>
      <c r="H32">
        <v>85488</v>
      </c>
      <c r="I32">
        <v>2024</v>
      </c>
      <c r="J32">
        <v>11</v>
      </c>
      <c r="K32">
        <v>4</v>
      </c>
      <c r="L32">
        <v>3</v>
      </c>
      <c r="M32">
        <v>315</v>
      </c>
    </row>
    <row r="33" spans="1:13" x14ac:dyDescent="0.35">
      <c r="A33" s="6">
        <v>45610</v>
      </c>
      <c r="B33" t="s">
        <v>49</v>
      </c>
      <c r="C33" t="s">
        <v>13</v>
      </c>
      <c r="D33" t="s">
        <v>21</v>
      </c>
      <c r="E33">
        <v>2</v>
      </c>
      <c r="F33">
        <v>1768</v>
      </c>
      <c r="G33">
        <v>10</v>
      </c>
      <c r="H33">
        <v>3182</v>
      </c>
      <c r="I33">
        <v>2024</v>
      </c>
      <c r="J33">
        <v>11</v>
      </c>
      <c r="K33">
        <v>4</v>
      </c>
      <c r="L33">
        <v>3</v>
      </c>
      <c r="M33">
        <v>319</v>
      </c>
    </row>
    <row r="34" spans="1:13" x14ac:dyDescent="0.35">
      <c r="A34" s="6">
        <v>45407</v>
      </c>
      <c r="B34" t="s">
        <v>26</v>
      </c>
      <c r="C34" t="s">
        <v>34</v>
      </c>
      <c r="D34" t="s">
        <v>38</v>
      </c>
      <c r="E34">
        <v>15</v>
      </c>
      <c r="F34">
        <v>22691</v>
      </c>
      <c r="G34">
        <v>15</v>
      </c>
      <c r="H34">
        <v>289310</v>
      </c>
      <c r="I34">
        <v>2024</v>
      </c>
      <c r="J34">
        <v>4</v>
      </c>
      <c r="K34">
        <v>2</v>
      </c>
      <c r="L34">
        <v>4</v>
      </c>
      <c r="M34">
        <v>116</v>
      </c>
    </row>
    <row r="35" spans="1:13" x14ac:dyDescent="0.35">
      <c r="A35" s="6">
        <v>45516</v>
      </c>
      <c r="B35" t="s">
        <v>29</v>
      </c>
      <c r="C35" t="s">
        <v>36</v>
      </c>
      <c r="D35" t="s">
        <v>42</v>
      </c>
      <c r="E35">
        <v>16</v>
      </c>
      <c r="F35">
        <v>17695</v>
      </c>
      <c r="G35">
        <v>15</v>
      </c>
      <c r="H35">
        <v>240652</v>
      </c>
      <c r="I35">
        <v>2024</v>
      </c>
      <c r="J35">
        <v>8</v>
      </c>
      <c r="K35">
        <v>3</v>
      </c>
      <c r="L35">
        <v>3</v>
      </c>
      <c r="M35">
        <v>225</v>
      </c>
    </row>
    <row r="36" spans="1:13" x14ac:dyDescent="0.35">
      <c r="A36" s="6">
        <v>45528</v>
      </c>
      <c r="B36" t="s">
        <v>48</v>
      </c>
      <c r="C36" t="s">
        <v>25</v>
      </c>
      <c r="D36" t="s">
        <v>23</v>
      </c>
      <c r="E36">
        <v>13</v>
      </c>
      <c r="F36">
        <v>48880</v>
      </c>
      <c r="G36">
        <v>15</v>
      </c>
      <c r="H36">
        <v>540124</v>
      </c>
      <c r="I36">
        <v>2024</v>
      </c>
      <c r="J36">
        <v>8</v>
      </c>
      <c r="K36">
        <v>3</v>
      </c>
      <c r="L36">
        <v>4</v>
      </c>
      <c r="M36">
        <v>237</v>
      </c>
    </row>
    <row r="37" spans="1:13" x14ac:dyDescent="0.35">
      <c r="A37" s="6">
        <v>45529</v>
      </c>
      <c r="B37" t="s">
        <v>26</v>
      </c>
      <c r="C37" t="s">
        <v>11</v>
      </c>
      <c r="D37" t="s">
        <v>23</v>
      </c>
      <c r="E37">
        <v>22</v>
      </c>
      <c r="F37">
        <v>47036</v>
      </c>
      <c r="G37">
        <v>0</v>
      </c>
      <c r="H37">
        <v>1034792</v>
      </c>
      <c r="I37">
        <v>2024</v>
      </c>
      <c r="J37">
        <v>8</v>
      </c>
      <c r="K37">
        <v>3</v>
      </c>
      <c r="L37">
        <v>5</v>
      </c>
      <c r="M37">
        <v>238</v>
      </c>
    </row>
    <row r="38" spans="1:13" x14ac:dyDescent="0.35">
      <c r="A38" s="6">
        <v>45653</v>
      </c>
      <c r="B38" t="s">
        <v>50</v>
      </c>
      <c r="C38" t="s">
        <v>36</v>
      </c>
      <c r="D38" t="s">
        <v>30</v>
      </c>
      <c r="E38">
        <v>19</v>
      </c>
      <c r="F38">
        <v>3919</v>
      </c>
      <c r="G38">
        <v>16</v>
      </c>
      <c r="H38">
        <v>74461</v>
      </c>
      <c r="I38">
        <v>2024</v>
      </c>
      <c r="J38">
        <v>12</v>
      </c>
      <c r="K38">
        <v>4</v>
      </c>
      <c r="L38">
        <v>4</v>
      </c>
      <c r="M38">
        <v>362</v>
      </c>
    </row>
    <row r="39" spans="1:13" x14ac:dyDescent="0.35">
      <c r="A39" s="6">
        <v>45427</v>
      </c>
      <c r="B39" t="s">
        <v>51</v>
      </c>
      <c r="C39" t="s">
        <v>25</v>
      </c>
      <c r="D39" t="s">
        <v>23</v>
      </c>
      <c r="E39">
        <v>19</v>
      </c>
      <c r="F39">
        <v>48370</v>
      </c>
      <c r="G39">
        <v>16</v>
      </c>
      <c r="H39">
        <v>919030</v>
      </c>
      <c r="I39">
        <v>2024</v>
      </c>
      <c r="J39">
        <v>5</v>
      </c>
      <c r="K39">
        <v>2</v>
      </c>
      <c r="L39">
        <v>3</v>
      </c>
      <c r="M39">
        <v>136</v>
      </c>
    </row>
    <row r="40" spans="1:13" x14ac:dyDescent="0.35">
      <c r="A40" s="6">
        <v>45567</v>
      </c>
      <c r="B40" t="s">
        <v>35</v>
      </c>
      <c r="C40" t="s">
        <v>25</v>
      </c>
      <c r="D40" t="s">
        <v>32</v>
      </c>
      <c r="E40">
        <v>17</v>
      </c>
      <c r="F40">
        <v>2520</v>
      </c>
      <c r="G40">
        <v>16</v>
      </c>
      <c r="H40">
        <v>42840</v>
      </c>
      <c r="I40">
        <v>2024</v>
      </c>
      <c r="J40">
        <v>10</v>
      </c>
      <c r="K40">
        <v>4</v>
      </c>
      <c r="L40">
        <v>1</v>
      </c>
      <c r="M40">
        <v>276</v>
      </c>
    </row>
    <row r="41" spans="1:13" x14ac:dyDescent="0.35">
      <c r="A41" s="6">
        <v>45413</v>
      </c>
      <c r="B41" t="s">
        <v>48</v>
      </c>
      <c r="C41" t="s">
        <v>16</v>
      </c>
      <c r="D41" t="s">
        <v>9</v>
      </c>
      <c r="E41">
        <v>16</v>
      </c>
      <c r="F41">
        <v>6256</v>
      </c>
      <c r="G41">
        <v>0</v>
      </c>
      <c r="H41">
        <v>100096</v>
      </c>
      <c r="I41">
        <v>2024</v>
      </c>
      <c r="J41">
        <v>5</v>
      </c>
      <c r="K41">
        <v>2</v>
      </c>
      <c r="L41">
        <v>1</v>
      </c>
      <c r="M41">
        <v>122</v>
      </c>
    </row>
    <row r="42" spans="1:13" x14ac:dyDescent="0.35">
      <c r="A42" s="6">
        <v>45406</v>
      </c>
      <c r="B42" t="s">
        <v>51</v>
      </c>
      <c r="C42" t="s">
        <v>13</v>
      </c>
      <c r="D42" t="s">
        <v>42</v>
      </c>
      <c r="E42">
        <v>19</v>
      </c>
      <c r="F42">
        <v>18340</v>
      </c>
      <c r="G42">
        <v>16</v>
      </c>
      <c r="H42">
        <v>348460</v>
      </c>
      <c r="I42">
        <v>2024</v>
      </c>
      <c r="J42">
        <v>4</v>
      </c>
      <c r="K42">
        <v>2</v>
      </c>
      <c r="L42">
        <v>4</v>
      </c>
      <c r="M42">
        <v>115</v>
      </c>
    </row>
    <row r="43" spans="1:13" x14ac:dyDescent="0.35">
      <c r="A43" s="6">
        <v>45549</v>
      </c>
      <c r="B43" t="s">
        <v>52</v>
      </c>
      <c r="C43" t="s">
        <v>41</v>
      </c>
      <c r="D43" t="s">
        <v>9</v>
      </c>
      <c r="E43">
        <v>14</v>
      </c>
      <c r="F43">
        <v>10942</v>
      </c>
      <c r="G43">
        <v>0</v>
      </c>
      <c r="H43">
        <v>153188</v>
      </c>
      <c r="I43">
        <v>2024</v>
      </c>
      <c r="J43">
        <v>9</v>
      </c>
      <c r="K43">
        <v>3</v>
      </c>
      <c r="L43">
        <v>2</v>
      </c>
      <c r="M43">
        <v>258</v>
      </c>
    </row>
    <row r="44" spans="1:13" x14ac:dyDescent="0.35">
      <c r="A44" s="6">
        <v>45376</v>
      </c>
      <c r="B44" t="s">
        <v>48</v>
      </c>
      <c r="C44" t="s">
        <v>41</v>
      </c>
      <c r="D44" t="s">
        <v>14</v>
      </c>
      <c r="E44">
        <v>26</v>
      </c>
      <c r="F44">
        <v>2189</v>
      </c>
      <c r="G44">
        <v>0</v>
      </c>
      <c r="H44">
        <v>56914</v>
      </c>
      <c r="I44">
        <v>2024</v>
      </c>
      <c r="J44">
        <v>3</v>
      </c>
      <c r="K44">
        <v>1</v>
      </c>
      <c r="L44">
        <v>5</v>
      </c>
      <c r="M44">
        <v>85</v>
      </c>
    </row>
    <row r="45" spans="1:13" x14ac:dyDescent="0.35">
      <c r="A45" s="6">
        <v>45632</v>
      </c>
      <c r="B45" t="s">
        <v>29</v>
      </c>
      <c r="C45" t="s">
        <v>40</v>
      </c>
      <c r="D45" t="s">
        <v>53</v>
      </c>
      <c r="E45">
        <v>16</v>
      </c>
      <c r="F45">
        <v>168</v>
      </c>
      <c r="G45">
        <v>5</v>
      </c>
      <c r="H45">
        <v>2873</v>
      </c>
      <c r="I45">
        <v>2024</v>
      </c>
      <c r="J45">
        <v>12</v>
      </c>
      <c r="K45">
        <v>4</v>
      </c>
      <c r="L45">
        <v>1</v>
      </c>
      <c r="M45">
        <v>341</v>
      </c>
    </row>
    <row r="46" spans="1:13" x14ac:dyDescent="0.35">
      <c r="A46" s="6">
        <v>45468</v>
      </c>
      <c r="B46" t="s">
        <v>52</v>
      </c>
      <c r="C46" t="s">
        <v>11</v>
      </c>
      <c r="D46" t="s">
        <v>19</v>
      </c>
      <c r="E46">
        <v>16</v>
      </c>
      <c r="F46">
        <v>13987</v>
      </c>
      <c r="G46">
        <v>16</v>
      </c>
      <c r="H46">
        <v>307714</v>
      </c>
      <c r="I46">
        <v>2024</v>
      </c>
      <c r="J46">
        <v>6</v>
      </c>
      <c r="K46">
        <v>2</v>
      </c>
      <c r="L46">
        <v>5</v>
      </c>
      <c r="M46">
        <v>177</v>
      </c>
    </row>
    <row r="47" spans="1:13" x14ac:dyDescent="0.35">
      <c r="A47" s="6">
        <v>45458</v>
      </c>
      <c r="B47" t="s">
        <v>54</v>
      </c>
      <c r="C47" t="s">
        <v>41</v>
      </c>
      <c r="D47" t="s">
        <v>17</v>
      </c>
      <c r="E47">
        <v>13</v>
      </c>
      <c r="F47">
        <v>1525</v>
      </c>
      <c r="G47">
        <v>20</v>
      </c>
      <c r="H47">
        <v>15860</v>
      </c>
      <c r="I47">
        <v>2024</v>
      </c>
      <c r="J47">
        <v>6</v>
      </c>
      <c r="K47">
        <v>2</v>
      </c>
      <c r="L47">
        <v>3</v>
      </c>
      <c r="M47">
        <v>167</v>
      </c>
    </row>
    <row r="48" spans="1:13" x14ac:dyDescent="0.35">
      <c r="A48" s="6">
        <v>45305</v>
      </c>
      <c r="B48" t="s">
        <v>89</v>
      </c>
      <c r="C48" t="s">
        <v>16</v>
      </c>
      <c r="D48" t="s">
        <v>19</v>
      </c>
      <c r="E48">
        <v>14</v>
      </c>
      <c r="F48">
        <v>10912</v>
      </c>
      <c r="G48">
        <v>5</v>
      </c>
      <c r="H48">
        <v>145130</v>
      </c>
      <c r="I48">
        <v>2024</v>
      </c>
      <c r="J48">
        <v>1</v>
      </c>
      <c r="K48">
        <v>1</v>
      </c>
      <c r="L48">
        <v>3</v>
      </c>
      <c r="M48">
        <v>14</v>
      </c>
    </row>
    <row r="49" spans="1:13" x14ac:dyDescent="0.35">
      <c r="A49" s="6">
        <v>45313</v>
      </c>
      <c r="B49" t="s">
        <v>37</v>
      </c>
      <c r="C49" t="s">
        <v>25</v>
      </c>
      <c r="D49" t="s">
        <v>19</v>
      </c>
      <c r="E49">
        <v>30</v>
      </c>
      <c r="F49">
        <v>11376</v>
      </c>
      <c r="G49">
        <v>16</v>
      </c>
      <c r="H49">
        <v>341280</v>
      </c>
      <c r="I49">
        <v>2024</v>
      </c>
      <c r="J49">
        <v>1</v>
      </c>
      <c r="K49">
        <v>1</v>
      </c>
      <c r="L49">
        <v>4</v>
      </c>
      <c r="M49">
        <v>22</v>
      </c>
    </row>
    <row r="50" spans="1:13" x14ac:dyDescent="0.35">
      <c r="A50" s="6">
        <v>45341</v>
      </c>
      <c r="B50" t="s">
        <v>50</v>
      </c>
      <c r="C50" t="s">
        <v>13</v>
      </c>
      <c r="D50" t="s">
        <v>23</v>
      </c>
      <c r="E50">
        <v>11</v>
      </c>
      <c r="F50">
        <v>47234</v>
      </c>
      <c r="G50">
        <v>10</v>
      </c>
      <c r="H50">
        <v>467617</v>
      </c>
      <c r="I50">
        <v>2024</v>
      </c>
      <c r="J50">
        <v>2</v>
      </c>
      <c r="K50">
        <v>1</v>
      </c>
      <c r="L50">
        <v>4</v>
      </c>
      <c r="M50">
        <v>50</v>
      </c>
    </row>
    <row r="51" spans="1:13" x14ac:dyDescent="0.35">
      <c r="A51" s="6">
        <v>45399</v>
      </c>
      <c r="B51" t="s">
        <v>15</v>
      </c>
      <c r="C51" t="s">
        <v>20</v>
      </c>
      <c r="D51" t="s">
        <v>21</v>
      </c>
      <c r="E51">
        <v>10</v>
      </c>
      <c r="F51">
        <v>395</v>
      </c>
      <c r="G51">
        <v>15</v>
      </c>
      <c r="H51">
        <v>3358</v>
      </c>
      <c r="I51">
        <v>2024</v>
      </c>
      <c r="J51">
        <v>4</v>
      </c>
      <c r="K51">
        <v>2</v>
      </c>
      <c r="L51">
        <v>3</v>
      </c>
      <c r="M51">
        <v>108</v>
      </c>
    </row>
    <row r="52" spans="1:13" x14ac:dyDescent="0.35">
      <c r="A52" s="6">
        <v>45348</v>
      </c>
      <c r="B52" t="s">
        <v>33</v>
      </c>
      <c r="C52" t="s">
        <v>36</v>
      </c>
      <c r="D52" t="s">
        <v>38</v>
      </c>
      <c r="E52">
        <v>19</v>
      </c>
      <c r="F52">
        <v>27349</v>
      </c>
      <c r="G52">
        <v>10</v>
      </c>
      <c r="H52">
        <v>467668</v>
      </c>
      <c r="I52">
        <v>2024</v>
      </c>
      <c r="J52">
        <v>2</v>
      </c>
      <c r="K52">
        <v>1</v>
      </c>
      <c r="L52">
        <v>5</v>
      </c>
      <c r="M52">
        <v>57</v>
      </c>
    </row>
    <row r="53" spans="1:13" x14ac:dyDescent="0.35">
      <c r="A53" s="6">
        <v>45358</v>
      </c>
      <c r="B53" t="s">
        <v>44</v>
      </c>
      <c r="C53" t="s">
        <v>20</v>
      </c>
      <c r="D53" t="s">
        <v>17</v>
      </c>
      <c r="E53">
        <v>8</v>
      </c>
      <c r="F53">
        <v>5091</v>
      </c>
      <c r="G53">
        <v>0</v>
      </c>
      <c r="H53">
        <v>51976</v>
      </c>
      <c r="I53">
        <v>2024</v>
      </c>
      <c r="J53">
        <v>3</v>
      </c>
      <c r="K53">
        <v>1</v>
      </c>
      <c r="L53">
        <v>2</v>
      </c>
      <c r="M53">
        <v>67</v>
      </c>
    </row>
    <row r="54" spans="1:13" x14ac:dyDescent="0.35">
      <c r="A54" s="6">
        <v>45452</v>
      </c>
      <c r="B54" t="s">
        <v>47</v>
      </c>
      <c r="C54" t="s">
        <v>89</v>
      </c>
      <c r="D54" t="s">
        <v>32</v>
      </c>
      <c r="E54">
        <v>12</v>
      </c>
      <c r="F54">
        <v>193</v>
      </c>
      <c r="G54">
        <v>15</v>
      </c>
      <c r="H54">
        <v>1969</v>
      </c>
      <c r="I54">
        <v>2024</v>
      </c>
      <c r="J54">
        <v>6</v>
      </c>
      <c r="K54">
        <v>2</v>
      </c>
      <c r="L54">
        <v>3</v>
      </c>
      <c r="M54">
        <v>161</v>
      </c>
    </row>
    <row r="55" spans="1:13" x14ac:dyDescent="0.35">
      <c r="A55" s="6">
        <v>45424</v>
      </c>
      <c r="B55" t="s">
        <v>50</v>
      </c>
      <c r="C55" t="s">
        <v>34</v>
      </c>
      <c r="D55" t="s">
        <v>14</v>
      </c>
      <c r="E55">
        <v>9</v>
      </c>
      <c r="F55">
        <v>501</v>
      </c>
      <c r="G55">
        <v>20</v>
      </c>
      <c r="H55">
        <v>3607</v>
      </c>
      <c r="I55">
        <v>2024</v>
      </c>
      <c r="J55">
        <v>5</v>
      </c>
      <c r="K55">
        <v>2</v>
      </c>
      <c r="L55">
        <v>3</v>
      </c>
      <c r="M55">
        <v>133</v>
      </c>
    </row>
    <row r="56" spans="1:13" x14ac:dyDescent="0.35">
      <c r="A56" s="6">
        <v>45403</v>
      </c>
      <c r="B56" t="s">
        <v>27</v>
      </c>
      <c r="C56" t="s">
        <v>11</v>
      </c>
      <c r="D56" t="s">
        <v>42</v>
      </c>
      <c r="E56">
        <v>16</v>
      </c>
      <c r="F56">
        <v>17803</v>
      </c>
      <c r="G56">
        <v>20</v>
      </c>
      <c r="H56">
        <v>384545</v>
      </c>
      <c r="I56">
        <v>2024</v>
      </c>
      <c r="J56">
        <v>4</v>
      </c>
      <c r="K56">
        <v>2</v>
      </c>
      <c r="L56">
        <v>4</v>
      </c>
      <c r="M56">
        <v>112</v>
      </c>
    </row>
    <row r="57" spans="1:13" x14ac:dyDescent="0.35">
      <c r="A57" s="6">
        <v>45351</v>
      </c>
      <c r="B57" t="s">
        <v>39</v>
      </c>
      <c r="C57" t="s">
        <v>25</v>
      </c>
      <c r="D57" t="s">
        <v>28</v>
      </c>
      <c r="E57">
        <v>15</v>
      </c>
      <c r="F57">
        <v>5056</v>
      </c>
      <c r="G57">
        <v>10</v>
      </c>
      <c r="H57">
        <v>68256</v>
      </c>
      <c r="I57">
        <v>2024</v>
      </c>
      <c r="J57">
        <v>2</v>
      </c>
      <c r="K57">
        <v>1</v>
      </c>
      <c r="L57">
        <v>5</v>
      </c>
      <c r="M57">
        <v>60</v>
      </c>
    </row>
    <row r="58" spans="1:13" x14ac:dyDescent="0.35">
      <c r="A58" s="6">
        <v>45537</v>
      </c>
      <c r="B58" t="s">
        <v>48</v>
      </c>
      <c r="C58" t="s">
        <v>11</v>
      </c>
      <c r="D58" t="s">
        <v>28</v>
      </c>
      <c r="E58">
        <v>13</v>
      </c>
      <c r="F58">
        <v>2770</v>
      </c>
      <c r="G58">
        <v>20</v>
      </c>
      <c r="H58">
        <v>28808</v>
      </c>
      <c r="I58">
        <v>2024</v>
      </c>
      <c r="J58">
        <v>9</v>
      </c>
      <c r="K58">
        <v>3</v>
      </c>
      <c r="L58">
        <v>1</v>
      </c>
      <c r="M58">
        <v>246</v>
      </c>
    </row>
    <row r="59" spans="1:13" x14ac:dyDescent="0.35">
      <c r="A59" s="6">
        <v>45608</v>
      </c>
      <c r="B59" t="s">
        <v>52</v>
      </c>
      <c r="C59" t="s">
        <v>40</v>
      </c>
      <c r="D59" t="s">
        <v>42</v>
      </c>
      <c r="E59">
        <v>27</v>
      </c>
      <c r="F59">
        <v>17209</v>
      </c>
      <c r="G59">
        <v>15</v>
      </c>
      <c r="H59">
        <v>394947</v>
      </c>
      <c r="I59">
        <v>2024</v>
      </c>
      <c r="J59">
        <v>11</v>
      </c>
      <c r="K59">
        <v>4</v>
      </c>
      <c r="L59">
        <v>3</v>
      </c>
      <c r="M59">
        <v>317</v>
      </c>
    </row>
    <row r="60" spans="1:13" x14ac:dyDescent="0.35">
      <c r="A60" s="6">
        <v>45651</v>
      </c>
      <c r="B60" t="s">
        <v>54</v>
      </c>
      <c r="C60" t="s">
        <v>34</v>
      </c>
      <c r="D60" t="s">
        <v>30</v>
      </c>
      <c r="E60">
        <v>28</v>
      </c>
      <c r="F60">
        <v>3177</v>
      </c>
      <c r="G60">
        <v>20</v>
      </c>
      <c r="H60">
        <v>71165</v>
      </c>
      <c r="I60">
        <v>2024</v>
      </c>
      <c r="J60">
        <v>12</v>
      </c>
      <c r="K60">
        <v>4</v>
      </c>
      <c r="L60">
        <v>4</v>
      </c>
      <c r="M60">
        <v>360</v>
      </c>
    </row>
    <row r="61" spans="1:13" x14ac:dyDescent="0.35">
      <c r="A61" s="6">
        <v>45654</v>
      </c>
      <c r="B61" t="s">
        <v>35</v>
      </c>
      <c r="C61" t="s">
        <v>41</v>
      </c>
      <c r="D61" t="s">
        <v>17</v>
      </c>
      <c r="E61">
        <v>16</v>
      </c>
      <c r="F61">
        <v>5091</v>
      </c>
      <c r="G61">
        <v>20</v>
      </c>
      <c r="H61">
        <v>65165</v>
      </c>
      <c r="I61">
        <v>2024</v>
      </c>
      <c r="J61">
        <v>12</v>
      </c>
      <c r="K61">
        <v>4</v>
      </c>
      <c r="L61">
        <v>4</v>
      </c>
      <c r="M61">
        <v>363</v>
      </c>
    </row>
    <row r="62" spans="1:13" x14ac:dyDescent="0.35">
      <c r="A62" s="6">
        <v>45440</v>
      </c>
      <c r="B62" t="s">
        <v>48</v>
      </c>
      <c r="C62" t="s">
        <v>20</v>
      </c>
      <c r="D62" t="s">
        <v>30</v>
      </c>
      <c r="E62">
        <v>19</v>
      </c>
      <c r="F62">
        <v>4436</v>
      </c>
      <c r="G62">
        <v>15</v>
      </c>
      <c r="H62">
        <v>71641</v>
      </c>
      <c r="I62">
        <v>2024</v>
      </c>
      <c r="J62">
        <v>5</v>
      </c>
      <c r="K62">
        <v>2</v>
      </c>
      <c r="L62">
        <v>5</v>
      </c>
      <c r="M62">
        <v>149</v>
      </c>
    </row>
    <row r="63" spans="1:13" x14ac:dyDescent="0.35">
      <c r="A63" s="6">
        <v>45623</v>
      </c>
      <c r="B63" t="s">
        <v>47</v>
      </c>
      <c r="C63" t="s">
        <v>89</v>
      </c>
      <c r="D63" t="s">
        <v>38</v>
      </c>
      <c r="E63">
        <v>21</v>
      </c>
      <c r="F63">
        <v>26582</v>
      </c>
      <c r="G63">
        <v>10</v>
      </c>
      <c r="H63">
        <v>502400</v>
      </c>
      <c r="I63">
        <v>2024</v>
      </c>
      <c r="J63">
        <v>11</v>
      </c>
      <c r="K63">
        <v>4</v>
      </c>
      <c r="L63">
        <v>5</v>
      </c>
      <c r="M63">
        <v>332</v>
      </c>
    </row>
    <row r="64" spans="1:13" x14ac:dyDescent="0.35">
      <c r="A64" s="6">
        <v>45523</v>
      </c>
      <c r="B64" t="s">
        <v>55</v>
      </c>
      <c r="C64" t="s">
        <v>11</v>
      </c>
      <c r="D64" t="s">
        <v>19</v>
      </c>
      <c r="E64">
        <v>18</v>
      </c>
      <c r="F64">
        <v>14629</v>
      </c>
      <c r="G64">
        <v>5</v>
      </c>
      <c r="H64">
        <v>250156</v>
      </c>
      <c r="I64">
        <v>2024</v>
      </c>
      <c r="J64">
        <v>8</v>
      </c>
      <c r="K64">
        <v>3</v>
      </c>
      <c r="L64">
        <v>4</v>
      </c>
      <c r="M64">
        <v>232</v>
      </c>
    </row>
    <row r="65" spans="1:13" x14ac:dyDescent="0.35">
      <c r="A65" s="6">
        <v>45501</v>
      </c>
      <c r="B65" t="s">
        <v>33</v>
      </c>
      <c r="C65" t="s">
        <v>11</v>
      </c>
      <c r="D65" t="s">
        <v>53</v>
      </c>
      <c r="E65">
        <v>21</v>
      </c>
      <c r="F65">
        <v>167</v>
      </c>
      <c r="G65">
        <v>20</v>
      </c>
      <c r="H65">
        <v>2806</v>
      </c>
      <c r="I65">
        <v>2024</v>
      </c>
      <c r="J65">
        <v>7</v>
      </c>
      <c r="K65">
        <v>3</v>
      </c>
      <c r="L65">
        <v>5</v>
      </c>
      <c r="M65">
        <v>210</v>
      </c>
    </row>
    <row r="66" spans="1:13" x14ac:dyDescent="0.35">
      <c r="A66" s="6">
        <v>45329</v>
      </c>
      <c r="B66" t="s">
        <v>55</v>
      </c>
      <c r="C66" t="s">
        <v>36</v>
      </c>
      <c r="D66" t="s">
        <v>53</v>
      </c>
      <c r="E66">
        <v>24</v>
      </c>
      <c r="F66">
        <v>3205</v>
      </c>
      <c r="G66">
        <v>0</v>
      </c>
      <c r="H66">
        <v>76920</v>
      </c>
      <c r="I66">
        <v>2024</v>
      </c>
      <c r="J66">
        <v>2</v>
      </c>
      <c r="K66">
        <v>1</v>
      </c>
      <c r="L66">
        <v>2</v>
      </c>
      <c r="M66">
        <v>38</v>
      </c>
    </row>
    <row r="67" spans="1:13" x14ac:dyDescent="0.35">
      <c r="A67" s="6">
        <v>45370</v>
      </c>
      <c r="B67" t="s">
        <v>18</v>
      </c>
      <c r="C67" t="s">
        <v>89</v>
      </c>
      <c r="D67" t="s">
        <v>21</v>
      </c>
      <c r="E67">
        <v>16</v>
      </c>
      <c r="F67">
        <v>3431</v>
      </c>
      <c r="G67">
        <v>5</v>
      </c>
      <c r="H67">
        <v>48892</v>
      </c>
      <c r="I67">
        <v>2024</v>
      </c>
      <c r="J67">
        <v>3</v>
      </c>
      <c r="K67">
        <v>1</v>
      </c>
      <c r="L67">
        <v>4</v>
      </c>
      <c r="M67">
        <v>79</v>
      </c>
    </row>
    <row r="68" spans="1:13" x14ac:dyDescent="0.35">
      <c r="A68" s="6">
        <v>45492</v>
      </c>
      <c r="B68" t="s">
        <v>24</v>
      </c>
      <c r="C68" t="s">
        <v>16</v>
      </c>
      <c r="D68" t="s">
        <v>9</v>
      </c>
      <c r="E68">
        <v>1</v>
      </c>
      <c r="F68">
        <v>10667</v>
      </c>
      <c r="G68">
        <v>15</v>
      </c>
      <c r="H68">
        <v>9067</v>
      </c>
      <c r="I68">
        <v>2024</v>
      </c>
      <c r="J68">
        <v>7</v>
      </c>
      <c r="K68">
        <v>3</v>
      </c>
      <c r="L68">
        <v>3</v>
      </c>
      <c r="M68">
        <v>201</v>
      </c>
    </row>
    <row r="69" spans="1:13" x14ac:dyDescent="0.35">
      <c r="A69" s="6">
        <v>45476</v>
      </c>
      <c r="B69" t="s">
        <v>29</v>
      </c>
      <c r="C69" t="s">
        <v>16</v>
      </c>
      <c r="D69" t="s">
        <v>38</v>
      </c>
      <c r="E69">
        <v>24</v>
      </c>
      <c r="F69">
        <v>23890</v>
      </c>
      <c r="G69">
        <v>20</v>
      </c>
      <c r="H69">
        <v>458688</v>
      </c>
      <c r="I69">
        <v>2024</v>
      </c>
      <c r="J69">
        <v>7</v>
      </c>
      <c r="K69">
        <v>3</v>
      </c>
      <c r="L69">
        <v>1</v>
      </c>
      <c r="M69">
        <v>185</v>
      </c>
    </row>
    <row r="70" spans="1:13" x14ac:dyDescent="0.35">
      <c r="A70" s="6">
        <v>45296</v>
      </c>
      <c r="B70" t="s">
        <v>47</v>
      </c>
      <c r="C70" t="s">
        <v>20</v>
      </c>
      <c r="D70" t="s">
        <v>42</v>
      </c>
      <c r="E70">
        <v>26</v>
      </c>
      <c r="F70">
        <v>22320</v>
      </c>
      <c r="G70">
        <v>0</v>
      </c>
      <c r="H70">
        <v>580320</v>
      </c>
      <c r="I70">
        <v>2024</v>
      </c>
      <c r="J70">
        <v>1</v>
      </c>
      <c r="K70">
        <v>1</v>
      </c>
      <c r="L70">
        <v>1</v>
      </c>
      <c r="M70">
        <v>5</v>
      </c>
    </row>
    <row r="71" spans="1:13" x14ac:dyDescent="0.35">
      <c r="A71" s="6">
        <v>45540</v>
      </c>
      <c r="B71" t="s">
        <v>49</v>
      </c>
      <c r="C71" t="s">
        <v>11</v>
      </c>
      <c r="D71" t="s">
        <v>21</v>
      </c>
      <c r="E71">
        <v>29</v>
      </c>
      <c r="F71">
        <v>723</v>
      </c>
      <c r="G71">
        <v>20</v>
      </c>
      <c r="H71">
        <v>16774</v>
      </c>
      <c r="I71">
        <v>2024</v>
      </c>
      <c r="J71">
        <v>9</v>
      </c>
      <c r="K71">
        <v>3</v>
      </c>
      <c r="L71">
        <v>1</v>
      </c>
      <c r="M71">
        <v>249</v>
      </c>
    </row>
    <row r="72" spans="1:13" x14ac:dyDescent="0.35">
      <c r="A72" s="6">
        <v>45560</v>
      </c>
      <c r="B72" t="s">
        <v>8</v>
      </c>
      <c r="C72" t="s">
        <v>20</v>
      </c>
      <c r="D72" t="s">
        <v>19</v>
      </c>
      <c r="E72">
        <v>16</v>
      </c>
      <c r="F72">
        <v>9958</v>
      </c>
      <c r="G72">
        <v>16</v>
      </c>
      <c r="H72">
        <v>19916</v>
      </c>
      <c r="I72">
        <v>2024</v>
      </c>
      <c r="J72">
        <v>9</v>
      </c>
      <c r="K72">
        <v>3</v>
      </c>
      <c r="L72">
        <v>4</v>
      </c>
      <c r="M72">
        <v>269</v>
      </c>
    </row>
    <row r="73" spans="1:13" x14ac:dyDescent="0.35">
      <c r="A73" s="6">
        <v>45364</v>
      </c>
      <c r="B73" t="s">
        <v>27</v>
      </c>
      <c r="C73" t="s">
        <v>20</v>
      </c>
      <c r="D73" t="s">
        <v>17</v>
      </c>
      <c r="E73">
        <v>15</v>
      </c>
      <c r="F73">
        <v>5441</v>
      </c>
      <c r="G73">
        <v>5</v>
      </c>
      <c r="H73">
        <v>77534</v>
      </c>
      <c r="I73">
        <v>2024</v>
      </c>
      <c r="J73">
        <v>3</v>
      </c>
      <c r="K73">
        <v>1</v>
      </c>
      <c r="L73">
        <v>3</v>
      </c>
      <c r="M73">
        <v>73</v>
      </c>
    </row>
    <row r="74" spans="1:13" x14ac:dyDescent="0.35">
      <c r="A74" s="6">
        <v>45592</v>
      </c>
      <c r="B74" t="s">
        <v>89</v>
      </c>
      <c r="C74" t="s">
        <v>13</v>
      </c>
      <c r="D74" t="s">
        <v>53</v>
      </c>
      <c r="E74">
        <v>16</v>
      </c>
      <c r="F74">
        <v>433</v>
      </c>
      <c r="G74">
        <v>10</v>
      </c>
      <c r="H74">
        <v>11691</v>
      </c>
      <c r="I74">
        <v>2024</v>
      </c>
      <c r="J74">
        <v>10</v>
      </c>
      <c r="K74">
        <v>4</v>
      </c>
      <c r="L74">
        <v>5</v>
      </c>
      <c r="M74">
        <v>301</v>
      </c>
    </row>
    <row r="75" spans="1:13" x14ac:dyDescent="0.35">
      <c r="A75" s="6">
        <v>45394</v>
      </c>
      <c r="B75" t="s">
        <v>54</v>
      </c>
      <c r="C75" t="s">
        <v>34</v>
      </c>
      <c r="D75" t="s">
        <v>53</v>
      </c>
      <c r="E75">
        <v>16</v>
      </c>
      <c r="F75">
        <v>2227</v>
      </c>
      <c r="G75">
        <v>16</v>
      </c>
      <c r="H75">
        <v>66810</v>
      </c>
      <c r="I75">
        <v>2024</v>
      </c>
      <c r="J75">
        <v>4</v>
      </c>
      <c r="K75">
        <v>2</v>
      </c>
      <c r="L75">
        <v>2</v>
      </c>
      <c r="M75">
        <v>103</v>
      </c>
    </row>
    <row r="76" spans="1:13" x14ac:dyDescent="0.35">
      <c r="A76" s="6">
        <v>45548</v>
      </c>
      <c r="B76" t="s">
        <v>27</v>
      </c>
      <c r="C76" t="s">
        <v>41</v>
      </c>
      <c r="D76" t="s">
        <v>21</v>
      </c>
      <c r="E76">
        <v>15</v>
      </c>
      <c r="F76">
        <v>4601</v>
      </c>
      <c r="G76">
        <v>20</v>
      </c>
      <c r="H76">
        <v>55212</v>
      </c>
      <c r="I76">
        <v>2024</v>
      </c>
      <c r="J76">
        <v>9</v>
      </c>
      <c r="K76">
        <v>3</v>
      </c>
      <c r="L76">
        <v>2</v>
      </c>
      <c r="M76">
        <v>257</v>
      </c>
    </row>
    <row r="77" spans="1:13" x14ac:dyDescent="0.35">
      <c r="A77" s="6">
        <v>45574</v>
      </c>
      <c r="B77" t="s">
        <v>43</v>
      </c>
      <c r="C77" t="s">
        <v>25</v>
      </c>
      <c r="D77" t="s">
        <v>38</v>
      </c>
      <c r="E77">
        <v>3</v>
      </c>
      <c r="F77">
        <v>25995</v>
      </c>
      <c r="G77">
        <v>20</v>
      </c>
      <c r="H77">
        <v>62388</v>
      </c>
      <c r="I77">
        <v>2024</v>
      </c>
      <c r="J77">
        <v>10</v>
      </c>
      <c r="K77">
        <v>4</v>
      </c>
      <c r="L77">
        <v>2</v>
      </c>
      <c r="M77">
        <v>283</v>
      </c>
    </row>
    <row r="78" spans="1:13" x14ac:dyDescent="0.35">
      <c r="A78" s="6">
        <v>45606</v>
      </c>
      <c r="B78" t="s">
        <v>35</v>
      </c>
      <c r="C78" t="s">
        <v>20</v>
      </c>
      <c r="D78" t="s">
        <v>53</v>
      </c>
      <c r="E78">
        <v>18</v>
      </c>
      <c r="F78">
        <v>2124</v>
      </c>
      <c r="G78">
        <v>16</v>
      </c>
      <c r="H78">
        <v>38232</v>
      </c>
      <c r="I78">
        <v>2024</v>
      </c>
      <c r="J78">
        <v>11</v>
      </c>
      <c r="K78">
        <v>4</v>
      </c>
      <c r="L78">
        <v>3</v>
      </c>
      <c r="M78">
        <v>315</v>
      </c>
    </row>
    <row r="79" spans="1:13" x14ac:dyDescent="0.35">
      <c r="A79" s="6">
        <v>45592</v>
      </c>
      <c r="B79" t="s">
        <v>49</v>
      </c>
      <c r="C79" t="s">
        <v>20</v>
      </c>
      <c r="D79" t="s">
        <v>53</v>
      </c>
      <c r="E79">
        <v>24</v>
      </c>
      <c r="F79">
        <v>2211</v>
      </c>
      <c r="G79">
        <v>0</v>
      </c>
      <c r="H79">
        <v>53064</v>
      </c>
      <c r="I79">
        <v>2024</v>
      </c>
      <c r="J79">
        <v>10</v>
      </c>
      <c r="K79">
        <v>4</v>
      </c>
      <c r="L79">
        <v>5</v>
      </c>
      <c r="M79">
        <v>301</v>
      </c>
    </row>
    <row r="80" spans="1:13" x14ac:dyDescent="0.35">
      <c r="A80" s="6">
        <v>45339</v>
      </c>
      <c r="B80" t="s">
        <v>26</v>
      </c>
      <c r="C80" t="s">
        <v>16</v>
      </c>
      <c r="D80" t="s">
        <v>17</v>
      </c>
      <c r="E80">
        <v>13</v>
      </c>
      <c r="F80">
        <v>4302</v>
      </c>
      <c r="G80">
        <v>20</v>
      </c>
      <c r="H80">
        <v>44741</v>
      </c>
      <c r="I80">
        <v>2024</v>
      </c>
      <c r="J80">
        <v>2</v>
      </c>
      <c r="K80">
        <v>1</v>
      </c>
      <c r="L80">
        <v>3</v>
      </c>
      <c r="M80">
        <v>48</v>
      </c>
    </row>
    <row r="81" spans="1:13" x14ac:dyDescent="0.35">
      <c r="A81" s="6">
        <v>45654</v>
      </c>
      <c r="B81" t="s">
        <v>27</v>
      </c>
      <c r="C81" t="s">
        <v>41</v>
      </c>
      <c r="D81" t="s">
        <v>9</v>
      </c>
      <c r="E81">
        <v>11</v>
      </c>
      <c r="F81">
        <v>8959</v>
      </c>
      <c r="G81">
        <v>15</v>
      </c>
      <c r="H81">
        <v>83767</v>
      </c>
      <c r="I81">
        <v>2024</v>
      </c>
      <c r="J81">
        <v>12</v>
      </c>
      <c r="K81">
        <v>4</v>
      </c>
      <c r="L81">
        <v>4</v>
      </c>
      <c r="M81">
        <v>363</v>
      </c>
    </row>
    <row r="82" spans="1:13" x14ac:dyDescent="0.35">
      <c r="A82" s="6">
        <v>45398</v>
      </c>
      <c r="B82" t="s">
        <v>50</v>
      </c>
      <c r="C82" t="s">
        <v>34</v>
      </c>
      <c r="D82" t="s">
        <v>19</v>
      </c>
      <c r="E82">
        <v>6</v>
      </c>
      <c r="F82">
        <v>11006</v>
      </c>
      <c r="G82">
        <v>5</v>
      </c>
      <c r="H82">
        <v>62734</v>
      </c>
      <c r="I82">
        <v>2024</v>
      </c>
      <c r="J82">
        <v>4</v>
      </c>
      <c r="K82">
        <v>2</v>
      </c>
      <c r="L82">
        <v>3</v>
      </c>
      <c r="M82">
        <v>107</v>
      </c>
    </row>
    <row r="83" spans="1:13" x14ac:dyDescent="0.35">
      <c r="A83" s="6">
        <v>45319</v>
      </c>
      <c r="B83" t="s">
        <v>56</v>
      </c>
      <c r="C83" t="s">
        <v>20</v>
      </c>
      <c r="D83" t="s">
        <v>14</v>
      </c>
      <c r="E83">
        <v>6</v>
      </c>
      <c r="F83">
        <v>3643</v>
      </c>
      <c r="G83">
        <v>20</v>
      </c>
      <c r="H83">
        <v>17486</v>
      </c>
      <c r="I83">
        <v>2024</v>
      </c>
      <c r="J83">
        <v>1</v>
      </c>
      <c r="K83">
        <v>1</v>
      </c>
      <c r="L83">
        <v>5</v>
      </c>
      <c r="M83">
        <v>28</v>
      </c>
    </row>
    <row r="84" spans="1:13" x14ac:dyDescent="0.35">
      <c r="A84" s="6">
        <v>45634</v>
      </c>
      <c r="B84" t="s">
        <v>8</v>
      </c>
      <c r="C84" t="s">
        <v>34</v>
      </c>
      <c r="D84" t="s">
        <v>21</v>
      </c>
      <c r="E84">
        <v>16</v>
      </c>
      <c r="F84">
        <v>335</v>
      </c>
      <c r="G84">
        <v>15</v>
      </c>
      <c r="H84">
        <v>8258</v>
      </c>
      <c r="I84">
        <v>2024</v>
      </c>
      <c r="J84">
        <v>12</v>
      </c>
      <c r="K84">
        <v>4</v>
      </c>
      <c r="L84">
        <v>2</v>
      </c>
      <c r="M84">
        <v>343</v>
      </c>
    </row>
    <row r="85" spans="1:13" x14ac:dyDescent="0.35">
      <c r="A85" s="6">
        <v>45594</v>
      </c>
      <c r="B85" t="s">
        <v>15</v>
      </c>
      <c r="C85" t="s">
        <v>11</v>
      </c>
      <c r="D85" t="s">
        <v>21</v>
      </c>
      <c r="E85">
        <v>24</v>
      </c>
      <c r="F85">
        <v>5318</v>
      </c>
      <c r="G85">
        <v>10</v>
      </c>
      <c r="H85">
        <v>114869</v>
      </c>
      <c r="I85">
        <v>2024</v>
      </c>
      <c r="J85">
        <v>10</v>
      </c>
      <c r="K85">
        <v>4</v>
      </c>
      <c r="L85">
        <v>5</v>
      </c>
      <c r="M85">
        <v>303</v>
      </c>
    </row>
    <row r="86" spans="1:13" x14ac:dyDescent="0.35">
      <c r="A86" s="6">
        <v>45382</v>
      </c>
      <c r="B86" t="s">
        <v>24</v>
      </c>
      <c r="C86" t="s">
        <v>41</v>
      </c>
      <c r="D86" t="s">
        <v>28</v>
      </c>
      <c r="E86">
        <v>30</v>
      </c>
      <c r="F86">
        <v>5932</v>
      </c>
      <c r="G86">
        <v>16</v>
      </c>
      <c r="H86">
        <v>177960</v>
      </c>
      <c r="I86">
        <v>2024</v>
      </c>
      <c r="J86">
        <v>3</v>
      </c>
      <c r="K86">
        <v>1</v>
      </c>
      <c r="L86">
        <v>6</v>
      </c>
      <c r="M86">
        <v>91</v>
      </c>
    </row>
    <row r="87" spans="1:13" x14ac:dyDescent="0.35">
      <c r="A87" s="6">
        <v>45497</v>
      </c>
      <c r="B87" t="s">
        <v>39</v>
      </c>
      <c r="C87" t="s">
        <v>20</v>
      </c>
      <c r="D87" t="s">
        <v>28</v>
      </c>
      <c r="E87">
        <v>6</v>
      </c>
      <c r="F87">
        <v>1172</v>
      </c>
      <c r="G87">
        <v>0</v>
      </c>
      <c r="H87">
        <v>7032</v>
      </c>
      <c r="I87">
        <v>2024</v>
      </c>
      <c r="J87">
        <v>7</v>
      </c>
      <c r="K87">
        <v>3</v>
      </c>
      <c r="L87">
        <v>4</v>
      </c>
      <c r="M87">
        <v>206</v>
      </c>
    </row>
    <row r="88" spans="1:13" x14ac:dyDescent="0.35">
      <c r="A88" s="6">
        <v>45555</v>
      </c>
      <c r="B88" t="s">
        <v>46</v>
      </c>
      <c r="C88" t="s">
        <v>34</v>
      </c>
      <c r="D88" t="s">
        <v>23</v>
      </c>
      <c r="E88">
        <v>15</v>
      </c>
      <c r="F88">
        <v>52533</v>
      </c>
      <c r="G88">
        <v>10</v>
      </c>
      <c r="H88">
        <v>709196</v>
      </c>
      <c r="I88">
        <v>2024</v>
      </c>
      <c r="J88">
        <v>9</v>
      </c>
      <c r="K88">
        <v>3</v>
      </c>
      <c r="L88">
        <v>3</v>
      </c>
      <c r="M88">
        <v>264</v>
      </c>
    </row>
    <row r="89" spans="1:13" x14ac:dyDescent="0.35">
      <c r="A89" s="6">
        <v>45476</v>
      </c>
      <c r="B89" t="s">
        <v>24</v>
      </c>
      <c r="C89" t="s">
        <v>13</v>
      </c>
      <c r="D89" t="s">
        <v>9</v>
      </c>
      <c r="E89">
        <v>11</v>
      </c>
      <c r="F89">
        <v>9705</v>
      </c>
      <c r="G89">
        <v>15</v>
      </c>
      <c r="H89">
        <v>90742</v>
      </c>
      <c r="I89">
        <v>2024</v>
      </c>
      <c r="J89">
        <v>7</v>
      </c>
      <c r="K89">
        <v>3</v>
      </c>
      <c r="L89">
        <v>1</v>
      </c>
      <c r="M89">
        <v>185</v>
      </c>
    </row>
    <row r="90" spans="1:13" x14ac:dyDescent="0.35">
      <c r="A90" s="6">
        <v>45373</v>
      </c>
      <c r="B90" t="s">
        <v>39</v>
      </c>
      <c r="C90" t="s">
        <v>25</v>
      </c>
      <c r="D90" t="s">
        <v>53</v>
      </c>
      <c r="E90">
        <v>23</v>
      </c>
      <c r="F90">
        <v>44</v>
      </c>
      <c r="G90">
        <v>10</v>
      </c>
      <c r="H90">
        <v>911</v>
      </c>
      <c r="I90">
        <v>2024</v>
      </c>
      <c r="J90">
        <v>3</v>
      </c>
      <c r="K90">
        <v>1</v>
      </c>
      <c r="L90">
        <v>4</v>
      </c>
      <c r="M90">
        <v>82</v>
      </c>
    </row>
    <row r="91" spans="1:13" x14ac:dyDescent="0.35">
      <c r="A91" s="6">
        <v>45596</v>
      </c>
      <c r="B91" t="s">
        <v>27</v>
      </c>
      <c r="C91" t="s">
        <v>40</v>
      </c>
      <c r="D91" t="s">
        <v>19</v>
      </c>
      <c r="E91">
        <v>14</v>
      </c>
      <c r="F91">
        <v>11614</v>
      </c>
      <c r="G91">
        <v>10</v>
      </c>
      <c r="H91">
        <v>146336</v>
      </c>
      <c r="I91">
        <v>2024</v>
      </c>
      <c r="J91">
        <v>10</v>
      </c>
      <c r="K91">
        <v>4</v>
      </c>
      <c r="L91">
        <v>5</v>
      </c>
      <c r="M91">
        <v>305</v>
      </c>
    </row>
    <row r="92" spans="1:13" x14ac:dyDescent="0.35">
      <c r="A92" s="6">
        <v>45405</v>
      </c>
      <c r="B92" t="s">
        <v>18</v>
      </c>
      <c r="C92" t="s">
        <v>11</v>
      </c>
      <c r="D92" t="s">
        <v>14</v>
      </c>
      <c r="E92">
        <v>11</v>
      </c>
      <c r="F92">
        <v>3412</v>
      </c>
      <c r="G92">
        <v>10</v>
      </c>
      <c r="H92">
        <v>33779</v>
      </c>
      <c r="I92">
        <v>2024</v>
      </c>
      <c r="J92">
        <v>4</v>
      </c>
      <c r="K92">
        <v>2</v>
      </c>
      <c r="L92">
        <v>4</v>
      </c>
      <c r="M92">
        <v>114</v>
      </c>
    </row>
    <row r="93" spans="1:13" x14ac:dyDescent="0.35">
      <c r="A93" s="6">
        <v>45548</v>
      </c>
      <c r="B93" t="s">
        <v>55</v>
      </c>
      <c r="C93" t="s">
        <v>11</v>
      </c>
      <c r="D93" t="s">
        <v>9</v>
      </c>
      <c r="E93">
        <v>21</v>
      </c>
      <c r="F93">
        <v>8468</v>
      </c>
      <c r="G93">
        <v>0</v>
      </c>
      <c r="H93">
        <v>177828</v>
      </c>
      <c r="I93">
        <v>2024</v>
      </c>
      <c r="J93">
        <v>9</v>
      </c>
      <c r="K93">
        <v>3</v>
      </c>
      <c r="L93">
        <v>2</v>
      </c>
      <c r="M93">
        <v>257</v>
      </c>
    </row>
    <row r="94" spans="1:13" x14ac:dyDescent="0.35">
      <c r="A94" s="6">
        <v>45349</v>
      </c>
      <c r="B94" t="s">
        <v>29</v>
      </c>
      <c r="C94" t="s">
        <v>25</v>
      </c>
      <c r="D94" t="s">
        <v>14</v>
      </c>
      <c r="E94">
        <v>18</v>
      </c>
      <c r="F94">
        <v>3115</v>
      </c>
      <c r="G94">
        <v>5</v>
      </c>
      <c r="H94">
        <v>53266</v>
      </c>
      <c r="I94">
        <v>2024</v>
      </c>
      <c r="J94">
        <v>2</v>
      </c>
      <c r="K94">
        <v>1</v>
      </c>
      <c r="L94">
        <v>5</v>
      </c>
      <c r="M94">
        <v>58</v>
      </c>
    </row>
    <row r="95" spans="1:13" x14ac:dyDescent="0.35">
      <c r="A95" s="6">
        <v>45294</v>
      </c>
      <c r="B95" t="s">
        <v>43</v>
      </c>
      <c r="C95" t="s">
        <v>20</v>
      </c>
      <c r="D95" t="s">
        <v>23</v>
      </c>
      <c r="E95">
        <v>28</v>
      </c>
      <c r="F95">
        <v>48353</v>
      </c>
      <c r="G95">
        <v>0</v>
      </c>
      <c r="H95">
        <v>1353884</v>
      </c>
      <c r="I95">
        <v>2024</v>
      </c>
      <c r="J95">
        <v>1</v>
      </c>
      <c r="K95">
        <v>1</v>
      </c>
      <c r="L95">
        <v>1</v>
      </c>
      <c r="M95">
        <v>3</v>
      </c>
    </row>
    <row r="96" spans="1:13" x14ac:dyDescent="0.35">
      <c r="A96" s="6">
        <v>45543</v>
      </c>
      <c r="B96" t="s">
        <v>46</v>
      </c>
      <c r="C96" t="s">
        <v>13</v>
      </c>
      <c r="D96" t="s">
        <v>53</v>
      </c>
      <c r="E96">
        <v>17</v>
      </c>
      <c r="F96">
        <v>2599</v>
      </c>
      <c r="G96">
        <v>10</v>
      </c>
      <c r="H96">
        <v>39765</v>
      </c>
      <c r="I96">
        <v>2024</v>
      </c>
      <c r="J96">
        <v>9</v>
      </c>
      <c r="K96">
        <v>3</v>
      </c>
      <c r="L96">
        <v>2</v>
      </c>
      <c r="M96">
        <v>252</v>
      </c>
    </row>
    <row r="97" spans="1:13" x14ac:dyDescent="0.35">
      <c r="A97" s="6">
        <v>45415</v>
      </c>
      <c r="B97" t="s">
        <v>51</v>
      </c>
      <c r="C97" t="s">
        <v>20</v>
      </c>
      <c r="D97" t="s">
        <v>9</v>
      </c>
      <c r="E97">
        <v>16</v>
      </c>
      <c r="F97">
        <v>9954</v>
      </c>
      <c r="G97">
        <v>16</v>
      </c>
      <c r="H97">
        <v>149310</v>
      </c>
      <c r="I97">
        <v>2024</v>
      </c>
      <c r="J97">
        <v>5</v>
      </c>
      <c r="K97">
        <v>2</v>
      </c>
      <c r="L97">
        <v>1</v>
      </c>
      <c r="M97">
        <v>124</v>
      </c>
    </row>
    <row r="98" spans="1:13" x14ac:dyDescent="0.35">
      <c r="A98" s="6">
        <v>45318</v>
      </c>
      <c r="B98" t="s">
        <v>12</v>
      </c>
      <c r="C98" t="s">
        <v>41</v>
      </c>
      <c r="D98" t="s">
        <v>53</v>
      </c>
      <c r="E98">
        <v>24</v>
      </c>
      <c r="F98">
        <v>430</v>
      </c>
      <c r="G98">
        <v>20</v>
      </c>
      <c r="H98">
        <v>8256</v>
      </c>
      <c r="I98">
        <v>2024</v>
      </c>
      <c r="J98">
        <v>1</v>
      </c>
      <c r="K98">
        <v>1</v>
      </c>
      <c r="L98">
        <v>4</v>
      </c>
      <c r="M98">
        <v>27</v>
      </c>
    </row>
    <row r="99" spans="1:13" x14ac:dyDescent="0.35">
      <c r="A99" s="6">
        <v>45526</v>
      </c>
      <c r="B99" t="s">
        <v>22</v>
      </c>
      <c r="C99" t="s">
        <v>36</v>
      </c>
      <c r="D99" t="s">
        <v>32</v>
      </c>
      <c r="E99">
        <v>8</v>
      </c>
      <c r="F99">
        <v>5271</v>
      </c>
      <c r="G99">
        <v>0</v>
      </c>
      <c r="H99">
        <v>42168</v>
      </c>
      <c r="I99">
        <v>2024</v>
      </c>
      <c r="J99">
        <v>8</v>
      </c>
      <c r="K99">
        <v>3</v>
      </c>
      <c r="L99">
        <v>4</v>
      </c>
      <c r="M99">
        <v>235</v>
      </c>
    </row>
    <row r="100" spans="1:13" x14ac:dyDescent="0.35">
      <c r="A100" s="6">
        <v>45372</v>
      </c>
      <c r="B100" t="s">
        <v>37</v>
      </c>
      <c r="C100" t="s">
        <v>20</v>
      </c>
      <c r="D100" t="s">
        <v>30</v>
      </c>
      <c r="E100">
        <v>3</v>
      </c>
      <c r="F100">
        <v>2840</v>
      </c>
      <c r="G100">
        <v>0</v>
      </c>
      <c r="H100">
        <v>8520</v>
      </c>
      <c r="I100">
        <v>2024</v>
      </c>
      <c r="J100">
        <v>3</v>
      </c>
      <c r="K100">
        <v>1</v>
      </c>
      <c r="L100">
        <v>4</v>
      </c>
      <c r="M100">
        <v>81</v>
      </c>
    </row>
    <row r="101" spans="1:13" x14ac:dyDescent="0.35">
      <c r="A101" s="6">
        <v>45402</v>
      </c>
      <c r="B101" t="s">
        <v>89</v>
      </c>
      <c r="C101" t="s">
        <v>20</v>
      </c>
      <c r="D101" t="s">
        <v>28</v>
      </c>
      <c r="E101">
        <v>27</v>
      </c>
      <c r="F101">
        <v>4063</v>
      </c>
      <c r="G101">
        <v>20</v>
      </c>
      <c r="H101">
        <v>87761</v>
      </c>
      <c r="I101">
        <v>2024</v>
      </c>
      <c r="J101">
        <v>4</v>
      </c>
      <c r="K101">
        <v>2</v>
      </c>
      <c r="L101">
        <v>3</v>
      </c>
      <c r="M101">
        <v>111</v>
      </c>
    </row>
    <row r="102" spans="1:13" x14ac:dyDescent="0.35">
      <c r="A102" s="6">
        <v>45363</v>
      </c>
      <c r="B102" t="s">
        <v>54</v>
      </c>
      <c r="C102" t="s">
        <v>41</v>
      </c>
      <c r="D102" t="s">
        <v>9</v>
      </c>
      <c r="E102">
        <v>27</v>
      </c>
      <c r="F102">
        <v>8713</v>
      </c>
      <c r="G102">
        <v>5</v>
      </c>
      <c r="H102">
        <v>223488</v>
      </c>
      <c r="I102">
        <v>2024</v>
      </c>
      <c r="J102">
        <v>3</v>
      </c>
      <c r="K102">
        <v>1</v>
      </c>
      <c r="L102">
        <v>3</v>
      </c>
      <c r="M102">
        <v>72</v>
      </c>
    </row>
    <row r="103" spans="1:13" x14ac:dyDescent="0.35">
      <c r="A103" s="6">
        <v>45547</v>
      </c>
      <c r="B103" t="s">
        <v>52</v>
      </c>
      <c r="C103" t="s">
        <v>41</v>
      </c>
      <c r="D103" t="s">
        <v>53</v>
      </c>
      <c r="E103">
        <v>11</v>
      </c>
      <c r="F103">
        <v>1174</v>
      </c>
      <c r="G103">
        <v>0</v>
      </c>
      <c r="H103">
        <v>12914</v>
      </c>
      <c r="I103">
        <v>2024</v>
      </c>
      <c r="J103">
        <v>9</v>
      </c>
      <c r="K103">
        <v>3</v>
      </c>
      <c r="L103">
        <v>2</v>
      </c>
      <c r="M103">
        <v>256</v>
      </c>
    </row>
    <row r="104" spans="1:13" x14ac:dyDescent="0.35">
      <c r="A104" s="6">
        <v>45472</v>
      </c>
      <c r="B104" t="s">
        <v>26</v>
      </c>
      <c r="C104" t="s">
        <v>13</v>
      </c>
      <c r="D104" t="s">
        <v>30</v>
      </c>
      <c r="E104">
        <v>4</v>
      </c>
      <c r="F104">
        <v>800</v>
      </c>
      <c r="G104">
        <v>10</v>
      </c>
      <c r="H104">
        <v>2880</v>
      </c>
      <c r="I104">
        <v>2024</v>
      </c>
      <c r="J104">
        <v>6</v>
      </c>
      <c r="K104">
        <v>2</v>
      </c>
      <c r="L104">
        <v>5</v>
      </c>
      <c r="M104">
        <v>181</v>
      </c>
    </row>
    <row r="105" spans="1:13" x14ac:dyDescent="0.35">
      <c r="A105" s="6">
        <v>45610</v>
      </c>
      <c r="B105" t="s">
        <v>46</v>
      </c>
      <c r="C105" t="s">
        <v>36</v>
      </c>
      <c r="D105" t="s">
        <v>14</v>
      </c>
      <c r="E105">
        <v>6</v>
      </c>
      <c r="F105">
        <v>2066</v>
      </c>
      <c r="G105">
        <v>20</v>
      </c>
      <c r="H105">
        <v>9917</v>
      </c>
      <c r="I105">
        <v>2024</v>
      </c>
      <c r="J105">
        <v>11</v>
      </c>
      <c r="K105">
        <v>4</v>
      </c>
      <c r="L105">
        <v>3</v>
      </c>
      <c r="M105">
        <v>319</v>
      </c>
    </row>
    <row r="106" spans="1:13" x14ac:dyDescent="0.35">
      <c r="A106" s="6">
        <v>45441</v>
      </c>
      <c r="B106" t="s">
        <v>24</v>
      </c>
      <c r="C106" t="s">
        <v>34</v>
      </c>
      <c r="D106" t="s">
        <v>32</v>
      </c>
      <c r="E106">
        <v>12</v>
      </c>
      <c r="F106">
        <v>90</v>
      </c>
      <c r="G106">
        <v>20</v>
      </c>
      <c r="H106">
        <v>864</v>
      </c>
      <c r="I106">
        <v>2024</v>
      </c>
      <c r="J106">
        <v>5</v>
      </c>
      <c r="K106">
        <v>2</v>
      </c>
      <c r="L106">
        <v>5</v>
      </c>
      <c r="M106">
        <v>150</v>
      </c>
    </row>
    <row r="107" spans="1:13" x14ac:dyDescent="0.35">
      <c r="A107" s="6">
        <v>45541</v>
      </c>
      <c r="B107" t="s">
        <v>18</v>
      </c>
      <c r="C107" t="s">
        <v>40</v>
      </c>
      <c r="D107" t="s">
        <v>19</v>
      </c>
      <c r="E107">
        <v>19</v>
      </c>
      <c r="F107">
        <v>14570</v>
      </c>
      <c r="G107">
        <v>0</v>
      </c>
      <c r="H107">
        <v>276830</v>
      </c>
      <c r="I107">
        <v>2024</v>
      </c>
      <c r="J107">
        <v>9</v>
      </c>
      <c r="K107">
        <v>3</v>
      </c>
      <c r="L107">
        <v>1</v>
      </c>
      <c r="M107">
        <v>250</v>
      </c>
    </row>
    <row r="108" spans="1:13" x14ac:dyDescent="0.35">
      <c r="A108" s="6">
        <v>45435</v>
      </c>
      <c r="B108" t="s">
        <v>44</v>
      </c>
      <c r="C108" t="s">
        <v>16</v>
      </c>
      <c r="D108" t="s">
        <v>32</v>
      </c>
      <c r="E108">
        <v>12</v>
      </c>
      <c r="F108">
        <v>2306</v>
      </c>
      <c r="G108">
        <v>0</v>
      </c>
      <c r="H108">
        <v>27672</v>
      </c>
      <c r="I108">
        <v>2024</v>
      </c>
      <c r="J108">
        <v>5</v>
      </c>
      <c r="K108">
        <v>2</v>
      </c>
      <c r="L108">
        <v>4</v>
      </c>
      <c r="M108">
        <v>144</v>
      </c>
    </row>
    <row r="109" spans="1:13" x14ac:dyDescent="0.35">
      <c r="A109" s="6">
        <v>45408</v>
      </c>
      <c r="B109" t="s">
        <v>31</v>
      </c>
      <c r="C109" t="s">
        <v>16</v>
      </c>
      <c r="D109" t="s">
        <v>17</v>
      </c>
      <c r="E109">
        <v>15</v>
      </c>
      <c r="F109">
        <v>6293</v>
      </c>
      <c r="G109">
        <v>10</v>
      </c>
      <c r="H109">
        <v>84956</v>
      </c>
      <c r="I109">
        <v>2024</v>
      </c>
      <c r="J109">
        <v>4</v>
      </c>
      <c r="K109">
        <v>2</v>
      </c>
      <c r="L109">
        <v>4</v>
      </c>
      <c r="M109">
        <v>117</v>
      </c>
    </row>
    <row r="110" spans="1:13" x14ac:dyDescent="0.35">
      <c r="A110" s="6">
        <v>45470</v>
      </c>
      <c r="B110" t="s">
        <v>22</v>
      </c>
      <c r="C110" t="s">
        <v>16</v>
      </c>
      <c r="D110" t="s">
        <v>17</v>
      </c>
      <c r="E110">
        <v>30</v>
      </c>
      <c r="F110">
        <v>4800</v>
      </c>
      <c r="G110">
        <v>15</v>
      </c>
      <c r="H110">
        <v>122400</v>
      </c>
      <c r="I110">
        <v>2024</v>
      </c>
      <c r="J110">
        <v>6</v>
      </c>
      <c r="K110">
        <v>2</v>
      </c>
      <c r="L110">
        <v>5</v>
      </c>
      <c r="M110">
        <v>179</v>
      </c>
    </row>
    <row r="111" spans="1:13" x14ac:dyDescent="0.35">
      <c r="A111" s="6">
        <v>45321</v>
      </c>
      <c r="B111" t="s">
        <v>51</v>
      </c>
      <c r="C111" t="s">
        <v>13</v>
      </c>
      <c r="D111" t="s">
        <v>53</v>
      </c>
      <c r="E111">
        <v>16</v>
      </c>
      <c r="F111">
        <v>5091</v>
      </c>
      <c r="G111">
        <v>15</v>
      </c>
      <c r="H111">
        <v>18656</v>
      </c>
      <c r="I111">
        <v>2024</v>
      </c>
      <c r="J111">
        <v>1</v>
      </c>
      <c r="K111">
        <v>1</v>
      </c>
      <c r="L111">
        <v>5</v>
      </c>
      <c r="M111">
        <v>30</v>
      </c>
    </row>
    <row r="112" spans="1:13" x14ac:dyDescent="0.35">
      <c r="A112" s="6">
        <v>45591</v>
      </c>
      <c r="B112" t="s">
        <v>39</v>
      </c>
      <c r="C112" t="s">
        <v>20</v>
      </c>
      <c r="D112" t="s">
        <v>19</v>
      </c>
      <c r="E112">
        <v>12</v>
      </c>
      <c r="F112">
        <v>9693</v>
      </c>
      <c r="G112">
        <v>20</v>
      </c>
      <c r="H112">
        <v>93053</v>
      </c>
      <c r="I112">
        <v>2024</v>
      </c>
      <c r="J112">
        <v>10</v>
      </c>
      <c r="K112">
        <v>4</v>
      </c>
      <c r="L112">
        <v>4</v>
      </c>
      <c r="M112">
        <v>300</v>
      </c>
    </row>
    <row r="113" spans="1:13" x14ac:dyDescent="0.35">
      <c r="A113" s="6">
        <v>45296</v>
      </c>
      <c r="B113" t="s">
        <v>12</v>
      </c>
      <c r="C113" t="s">
        <v>20</v>
      </c>
      <c r="D113" t="s">
        <v>32</v>
      </c>
      <c r="E113">
        <v>23</v>
      </c>
      <c r="F113">
        <v>4890</v>
      </c>
      <c r="G113">
        <v>16</v>
      </c>
      <c r="H113">
        <v>112470</v>
      </c>
      <c r="I113">
        <v>2024</v>
      </c>
      <c r="J113">
        <v>1</v>
      </c>
      <c r="K113">
        <v>1</v>
      </c>
      <c r="L113">
        <v>1</v>
      </c>
      <c r="M113">
        <v>5</v>
      </c>
    </row>
    <row r="114" spans="1:13" x14ac:dyDescent="0.35">
      <c r="A114" s="6">
        <v>45388</v>
      </c>
      <c r="B114" t="s">
        <v>29</v>
      </c>
      <c r="C114" t="s">
        <v>41</v>
      </c>
      <c r="D114" t="s">
        <v>14</v>
      </c>
      <c r="E114">
        <v>26</v>
      </c>
      <c r="F114">
        <v>2710</v>
      </c>
      <c r="G114">
        <v>10</v>
      </c>
      <c r="H114">
        <v>63414</v>
      </c>
      <c r="I114">
        <v>2024</v>
      </c>
      <c r="J114">
        <v>4</v>
      </c>
      <c r="K114">
        <v>2</v>
      </c>
      <c r="L114">
        <v>1</v>
      </c>
      <c r="M114">
        <v>97</v>
      </c>
    </row>
    <row r="115" spans="1:13" x14ac:dyDescent="0.35">
      <c r="A115" s="6">
        <v>45557</v>
      </c>
      <c r="B115" t="s">
        <v>26</v>
      </c>
      <c r="C115" t="s">
        <v>20</v>
      </c>
      <c r="D115" t="s">
        <v>14</v>
      </c>
      <c r="E115">
        <v>5</v>
      </c>
      <c r="F115">
        <v>5091</v>
      </c>
      <c r="G115">
        <v>10</v>
      </c>
      <c r="H115">
        <v>12969</v>
      </c>
      <c r="I115">
        <v>2024</v>
      </c>
      <c r="J115">
        <v>9</v>
      </c>
      <c r="K115">
        <v>3</v>
      </c>
      <c r="L115">
        <v>4</v>
      </c>
      <c r="M115">
        <v>266</v>
      </c>
    </row>
    <row r="116" spans="1:13" x14ac:dyDescent="0.35">
      <c r="A116" s="6">
        <v>45320</v>
      </c>
      <c r="B116" t="s">
        <v>57</v>
      </c>
      <c r="C116" t="s">
        <v>36</v>
      </c>
      <c r="D116" t="s">
        <v>23</v>
      </c>
      <c r="E116">
        <v>1</v>
      </c>
      <c r="F116">
        <v>48368</v>
      </c>
      <c r="G116">
        <v>15</v>
      </c>
      <c r="H116">
        <v>41113</v>
      </c>
      <c r="I116">
        <v>2024</v>
      </c>
      <c r="J116">
        <v>1</v>
      </c>
      <c r="K116">
        <v>1</v>
      </c>
      <c r="L116">
        <v>5</v>
      </c>
      <c r="M116">
        <v>29</v>
      </c>
    </row>
    <row r="117" spans="1:13" x14ac:dyDescent="0.35">
      <c r="A117" s="6">
        <v>45567</v>
      </c>
      <c r="B117" t="s">
        <v>26</v>
      </c>
      <c r="C117" t="s">
        <v>13</v>
      </c>
      <c r="D117" t="s">
        <v>38</v>
      </c>
      <c r="E117">
        <v>10</v>
      </c>
      <c r="F117">
        <v>24741</v>
      </c>
      <c r="G117">
        <v>5</v>
      </c>
      <c r="H117">
        <v>235040</v>
      </c>
      <c r="I117">
        <v>2024</v>
      </c>
      <c r="J117">
        <v>10</v>
      </c>
      <c r="K117">
        <v>4</v>
      </c>
      <c r="L117">
        <v>1</v>
      </c>
      <c r="M117">
        <v>276</v>
      </c>
    </row>
    <row r="118" spans="1:13" x14ac:dyDescent="0.35">
      <c r="A118" s="6">
        <v>45453</v>
      </c>
      <c r="B118" t="s">
        <v>47</v>
      </c>
      <c r="C118" t="s">
        <v>89</v>
      </c>
      <c r="D118" t="s">
        <v>23</v>
      </c>
      <c r="E118">
        <v>26</v>
      </c>
      <c r="F118">
        <v>52475</v>
      </c>
      <c r="G118">
        <v>10</v>
      </c>
      <c r="H118">
        <v>1227915</v>
      </c>
      <c r="I118">
        <v>2024</v>
      </c>
      <c r="J118">
        <v>6</v>
      </c>
      <c r="K118">
        <v>2</v>
      </c>
      <c r="L118">
        <v>3</v>
      </c>
      <c r="M118">
        <v>162</v>
      </c>
    </row>
    <row r="119" spans="1:13" x14ac:dyDescent="0.35">
      <c r="A119" s="6">
        <v>45539</v>
      </c>
      <c r="B119" t="s">
        <v>22</v>
      </c>
      <c r="C119" t="s">
        <v>34</v>
      </c>
      <c r="D119" t="s">
        <v>9</v>
      </c>
      <c r="E119">
        <v>28</v>
      </c>
      <c r="F119">
        <v>8967</v>
      </c>
      <c r="G119">
        <v>10</v>
      </c>
      <c r="H119">
        <v>225968</v>
      </c>
      <c r="I119">
        <v>2024</v>
      </c>
      <c r="J119">
        <v>9</v>
      </c>
      <c r="K119">
        <v>3</v>
      </c>
      <c r="L119">
        <v>1</v>
      </c>
      <c r="M119">
        <v>248</v>
      </c>
    </row>
    <row r="120" spans="1:13" x14ac:dyDescent="0.35">
      <c r="A120" s="6">
        <v>45614</v>
      </c>
      <c r="B120" t="s">
        <v>56</v>
      </c>
      <c r="C120" t="s">
        <v>40</v>
      </c>
      <c r="D120" t="s">
        <v>21</v>
      </c>
      <c r="E120">
        <v>16</v>
      </c>
      <c r="F120">
        <v>242</v>
      </c>
      <c r="G120">
        <v>20</v>
      </c>
      <c r="H120">
        <v>3098</v>
      </c>
      <c r="I120">
        <v>2024</v>
      </c>
      <c r="J120">
        <v>11</v>
      </c>
      <c r="K120">
        <v>4</v>
      </c>
      <c r="L120">
        <v>4</v>
      </c>
      <c r="M120">
        <v>323</v>
      </c>
    </row>
    <row r="121" spans="1:13" x14ac:dyDescent="0.35">
      <c r="A121" s="6">
        <v>45419</v>
      </c>
      <c r="B121" t="s">
        <v>55</v>
      </c>
      <c r="C121" t="s">
        <v>11</v>
      </c>
      <c r="D121" t="s">
        <v>28</v>
      </c>
      <c r="E121">
        <v>11</v>
      </c>
      <c r="F121">
        <v>3439</v>
      </c>
      <c r="G121">
        <v>0</v>
      </c>
      <c r="H121">
        <v>37829</v>
      </c>
      <c r="I121">
        <v>2024</v>
      </c>
      <c r="J121">
        <v>5</v>
      </c>
      <c r="K121">
        <v>2</v>
      </c>
      <c r="L121">
        <v>2</v>
      </c>
      <c r="M121">
        <v>128</v>
      </c>
    </row>
    <row r="122" spans="1:13" x14ac:dyDescent="0.35">
      <c r="A122" s="6">
        <v>45566</v>
      </c>
      <c r="B122" t="s">
        <v>10</v>
      </c>
      <c r="C122" t="s">
        <v>40</v>
      </c>
      <c r="D122" t="s">
        <v>14</v>
      </c>
      <c r="E122">
        <v>28</v>
      </c>
      <c r="F122">
        <v>3046</v>
      </c>
      <c r="G122">
        <v>16</v>
      </c>
      <c r="H122">
        <v>85288</v>
      </c>
      <c r="I122">
        <v>2024</v>
      </c>
      <c r="J122">
        <v>10</v>
      </c>
      <c r="K122">
        <v>4</v>
      </c>
      <c r="L122">
        <v>1</v>
      </c>
      <c r="M122">
        <v>275</v>
      </c>
    </row>
    <row r="123" spans="1:13" x14ac:dyDescent="0.35">
      <c r="A123" s="6">
        <v>45345</v>
      </c>
      <c r="B123" t="s">
        <v>47</v>
      </c>
      <c r="C123" t="s">
        <v>41</v>
      </c>
      <c r="D123" t="s">
        <v>19</v>
      </c>
      <c r="E123">
        <v>11</v>
      </c>
      <c r="F123">
        <v>9683</v>
      </c>
      <c r="G123">
        <v>0</v>
      </c>
      <c r="H123">
        <v>106513</v>
      </c>
      <c r="I123">
        <v>2024</v>
      </c>
      <c r="J123">
        <v>2</v>
      </c>
      <c r="K123">
        <v>1</v>
      </c>
      <c r="L123">
        <v>4</v>
      </c>
      <c r="M123">
        <v>54</v>
      </c>
    </row>
    <row r="124" spans="1:13" x14ac:dyDescent="0.35">
      <c r="A124" s="6">
        <v>45615</v>
      </c>
      <c r="B124" t="s">
        <v>56</v>
      </c>
      <c r="C124" t="s">
        <v>20</v>
      </c>
      <c r="D124" t="s">
        <v>38</v>
      </c>
      <c r="E124">
        <v>20</v>
      </c>
      <c r="F124">
        <v>24776</v>
      </c>
      <c r="G124">
        <v>5</v>
      </c>
      <c r="H124">
        <v>470744</v>
      </c>
      <c r="I124">
        <v>2024</v>
      </c>
      <c r="J124">
        <v>11</v>
      </c>
      <c r="K124">
        <v>4</v>
      </c>
      <c r="L124">
        <v>4</v>
      </c>
      <c r="M124">
        <v>324</v>
      </c>
    </row>
    <row r="125" spans="1:13" x14ac:dyDescent="0.35">
      <c r="A125" s="6">
        <v>45539</v>
      </c>
      <c r="B125" t="s">
        <v>50</v>
      </c>
      <c r="C125" t="s">
        <v>16</v>
      </c>
      <c r="D125" t="s">
        <v>17</v>
      </c>
      <c r="E125">
        <v>10</v>
      </c>
      <c r="F125">
        <v>6208</v>
      </c>
      <c r="G125">
        <v>0</v>
      </c>
      <c r="H125">
        <v>62080</v>
      </c>
      <c r="I125">
        <v>2024</v>
      </c>
      <c r="J125">
        <v>9</v>
      </c>
      <c r="K125">
        <v>3</v>
      </c>
      <c r="L125">
        <v>1</v>
      </c>
      <c r="M125">
        <v>248</v>
      </c>
    </row>
    <row r="126" spans="1:13" x14ac:dyDescent="0.35">
      <c r="A126" s="6">
        <v>45310</v>
      </c>
      <c r="B126" t="s">
        <v>37</v>
      </c>
      <c r="C126" t="s">
        <v>34</v>
      </c>
      <c r="D126" t="s">
        <v>30</v>
      </c>
      <c r="E126">
        <v>4</v>
      </c>
      <c r="F126">
        <v>416</v>
      </c>
      <c r="G126">
        <v>5</v>
      </c>
      <c r="H126">
        <v>1581</v>
      </c>
      <c r="I126">
        <v>2024</v>
      </c>
      <c r="J126">
        <v>1</v>
      </c>
      <c r="K126">
        <v>1</v>
      </c>
      <c r="L126">
        <v>3</v>
      </c>
      <c r="M126">
        <v>19</v>
      </c>
    </row>
    <row r="127" spans="1:13" x14ac:dyDescent="0.35">
      <c r="A127" s="6">
        <v>45540</v>
      </c>
      <c r="B127" t="s">
        <v>46</v>
      </c>
      <c r="C127" t="s">
        <v>34</v>
      </c>
      <c r="D127" t="s">
        <v>21</v>
      </c>
      <c r="E127">
        <v>23</v>
      </c>
      <c r="F127">
        <v>2799</v>
      </c>
      <c r="G127">
        <v>10</v>
      </c>
      <c r="H127">
        <v>57939</v>
      </c>
      <c r="I127">
        <v>2024</v>
      </c>
      <c r="J127">
        <v>9</v>
      </c>
      <c r="K127">
        <v>3</v>
      </c>
      <c r="L127">
        <v>1</v>
      </c>
      <c r="M127">
        <v>249</v>
      </c>
    </row>
    <row r="128" spans="1:13" x14ac:dyDescent="0.35">
      <c r="A128" s="6">
        <v>45489</v>
      </c>
      <c r="B128" t="s">
        <v>48</v>
      </c>
      <c r="C128" t="s">
        <v>34</v>
      </c>
      <c r="D128" t="s">
        <v>53</v>
      </c>
      <c r="E128">
        <v>25</v>
      </c>
      <c r="F128">
        <v>31</v>
      </c>
      <c r="G128">
        <v>20</v>
      </c>
      <c r="H128">
        <v>620</v>
      </c>
      <c r="I128">
        <v>2024</v>
      </c>
      <c r="J128">
        <v>7</v>
      </c>
      <c r="K128">
        <v>3</v>
      </c>
      <c r="L128">
        <v>3</v>
      </c>
      <c r="M128">
        <v>198</v>
      </c>
    </row>
    <row r="129" spans="1:13" x14ac:dyDescent="0.35">
      <c r="A129" s="6">
        <v>45319</v>
      </c>
      <c r="B129" t="s">
        <v>48</v>
      </c>
      <c r="C129" t="s">
        <v>13</v>
      </c>
      <c r="D129" t="s">
        <v>38</v>
      </c>
      <c r="E129">
        <v>4</v>
      </c>
      <c r="F129">
        <v>24662</v>
      </c>
      <c r="G129">
        <v>10</v>
      </c>
      <c r="H129">
        <v>88783</v>
      </c>
      <c r="I129">
        <v>2024</v>
      </c>
      <c r="J129">
        <v>1</v>
      </c>
      <c r="K129">
        <v>1</v>
      </c>
      <c r="L129">
        <v>5</v>
      </c>
      <c r="M129">
        <v>28</v>
      </c>
    </row>
    <row r="130" spans="1:13" x14ac:dyDescent="0.35">
      <c r="A130" s="6">
        <v>45301</v>
      </c>
      <c r="B130" t="s">
        <v>22</v>
      </c>
      <c r="C130" t="s">
        <v>41</v>
      </c>
      <c r="D130" t="s">
        <v>32</v>
      </c>
      <c r="E130">
        <v>16</v>
      </c>
      <c r="F130">
        <v>5560</v>
      </c>
      <c r="G130">
        <v>5</v>
      </c>
      <c r="H130">
        <v>137332</v>
      </c>
      <c r="I130">
        <v>2024</v>
      </c>
      <c r="J130">
        <v>1</v>
      </c>
      <c r="K130">
        <v>1</v>
      </c>
      <c r="L130">
        <v>2</v>
      </c>
      <c r="M130">
        <v>10</v>
      </c>
    </row>
    <row r="131" spans="1:13" x14ac:dyDescent="0.35">
      <c r="A131" s="6">
        <v>45646</v>
      </c>
      <c r="B131" t="s">
        <v>12</v>
      </c>
      <c r="C131" t="s">
        <v>36</v>
      </c>
      <c r="D131" t="s">
        <v>23</v>
      </c>
      <c r="E131">
        <v>3</v>
      </c>
      <c r="F131">
        <v>47115</v>
      </c>
      <c r="G131">
        <v>20</v>
      </c>
      <c r="H131">
        <v>113076</v>
      </c>
      <c r="I131">
        <v>2024</v>
      </c>
      <c r="J131">
        <v>12</v>
      </c>
      <c r="K131">
        <v>4</v>
      </c>
      <c r="L131">
        <v>3</v>
      </c>
      <c r="M131">
        <v>355</v>
      </c>
    </row>
    <row r="132" spans="1:13" x14ac:dyDescent="0.35">
      <c r="A132" s="6">
        <v>45599</v>
      </c>
      <c r="B132" t="s">
        <v>46</v>
      </c>
      <c r="C132" t="s">
        <v>36</v>
      </c>
      <c r="D132" t="s">
        <v>17</v>
      </c>
      <c r="E132">
        <v>23</v>
      </c>
      <c r="F132">
        <v>3354</v>
      </c>
      <c r="G132">
        <v>5</v>
      </c>
      <c r="H132">
        <v>73285</v>
      </c>
      <c r="I132">
        <v>2024</v>
      </c>
      <c r="J132">
        <v>11</v>
      </c>
      <c r="K132">
        <v>4</v>
      </c>
      <c r="L132">
        <v>2</v>
      </c>
      <c r="M132">
        <v>308</v>
      </c>
    </row>
    <row r="133" spans="1:13" x14ac:dyDescent="0.35">
      <c r="A133" s="6">
        <v>45313</v>
      </c>
      <c r="B133" t="s">
        <v>47</v>
      </c>
      <c r="C133" t="s">
        <v>20</v>
      </c>
      <c r="D133" t="s">
        <v>42</v>
      </c>
      <c r="E133">
        <v>6</v>
      </c>
      <c r="F133">
        <v>20049</v>
      </c>
      <c r="G133">
        <v>5</v>
      </c>
      <c r="H133">
        <v>114279</v>
      </c>
      <c r="I133">
        <v>2024</v>
      </c>
      <c r="J133">
        <v>1</v>
      </c>
      <c r="K133">
        <v>1</v>
      </c>
      <c r="L133">
        <v>4</v>
      </c>
      <c r="M133">
        <v>22</v>
      </c>
    </row>
    <row r="134" spans="1:13" x14ac:dyDescent="0.35">
      <c r="A134" s="6">
        <v>45507</v>
      </c>
      <c r="B134" t="s">
        <v>47</v>
      </c>
      <c r="C134" t="s">
        <v>41</v>
      </c>
      <c r="D134" t="s">
        <v>23</v>
      </c>
      <c r="E134">
        <v>29</v>
      </c>
      <c r="F134">
        <v>49918</v>
      </c>
      <c r="G134">
        <v>20</v>
      </c>
      <c r="H134">
        <v>1158098</v>
      </c>
      <c r="I134">
        <v>2024</v>
      </c>
      <c r="J134">
        <v>8</v>
      </c>
      <c r="K134">
        <v>3</v>
      </c>
      <c r="L134">
        <v>1</v>
      </c>
      <c r="M134">
        <v>216</v>
      </c>
    </row>
    <row r="135" spans="1:13" x14ac:dyDescent="0.35">
      <c r="A135" s="6">
        <v>45584</v>
      </c>
      <c r="B135" t="s">
        <v>39</v>
      </c>
      <c r="C135" t="s">
        <v>25</v>
      </c>
      <c r="D135" t="s">
        <v>32</v>
      </c>
      <c r="E135">
        <v>20</v>
      </c>
      <c r="F135">
        <v>3748</v>
      </c>
      <c r="G135">
        <v>0</v>
      </c>
      <c r="H135">
        <v>74960</v>
      </c>
      <c r="I135">
        <v>2024</v>
      </c>
      <c r="J135">
        <v>10</v>
      </c>
      <c r="K135">
        <v>4</v>
      </c>
      <c r="L135">
        <v>3</v>
      </c>
      <c r="M135">
        <v>293</v>
      </c>
    </row>
    <row r="136" spans="1:13" x14ac:dyDescent="0.35">
      <c r="A136" s="6">
        <v>45310</v>
      </c>
      <c r="B136" t="s">
        <v>10</v>
      </c>
      <c r="C136" t="s">
        <v>40</v>
      </c>
      <c r="D136" t="s">
        <v>53</v>
      </c>
      <c r="E136">
        <v>12</v>
      </c>
      <c r="F136">
        <v>3568</v>
      </c>
      <c r="G136">
        <v>15</v>
      </c>
      <c r="H136">
        <v>36394</v>
      </c>
      <c r="I136">
        <v>2024</v>
      </c>
      <c r="J136">
        <v>1</v>
      </c>
      <c r="K136">
        <v>1</v>
      </c>
      <c r="L136">
        <v>3</v>
      </c>
      <c r="M136">
        <v>19</v>
      </c>
    </row>
    <row r="137" spans="1:13" x14ac:dyDescent="0.35">
      <c r="A137" s="6">
        <v>45318</v>
      </c>
      <c r="B137" t="s">
        <v>24</v>
      </c>
      <c r="C137" t="s">
        <v>34</v>
      </c>
      <c r="D137" t="s">
        <v>53</v>
      </c>
      <c r="E137">
        <v>5</v>
      </c>
      <c r="F137">
        <v>1808</v>
      </c>
      <c r="G137">
        <v>16</v>
      </c>
      <c r="H137">
        <v>9040</v>
      </c>
      <c r="I137">
        <v>2024</v>
      </c>
      <c r="J137">
        <v>1</v>
      </c>
      <c r="K137">
        <v>1</v>
      </c>
      <c r="L137">
        <v>4</v>
      </c>
      <c r="M137">
        <v>27</v>
      </c>
    </row>
    <row r="138" spans="1:13" x14ac:dyDescent="0.35">
      <c r="A138" s="6">
        <v>45631</v>
      </c>
      <c r="B138" t="s">
        <v>48</v>
      </c>
      <c r="C138" t="s">
        <v>36</v>
      </c>
      <c r="D138" t="s">
        <v>32</v>
      </c>
      <c r="E138">
        <v>4</v>
      </c>
      <c r="F138">
        <v>2333</v>
      </c>
      <c r="G138">
        <v>10</v>
      </c>
      <c r="H138">
        <v>8399</v>
      </c>
      <c r="I138">
        <v>2024</v>
      </c>
      <c r="J138">
        <v>12</v>
      </c>
      <c r="K138">
        <v>4</v>
      </c>
      <c r="L138">
        <v>1</v>
      </c>
      <c r="M138">
        <v>340</v>
      </c>
    </row>
    <row r="139" spans="1:13" x14ac:dyDescent="0.35">
      <c r="A139" s="6">
        <v>45613</v>
      </c>
      <c r="B139" t="s">
        <v>27</v>
      </c>
      <c r="C139" t="s">
        <v>16</v>
      </c>
      <c r="D139" t="s">
        <v>9</v>
      </c>
      <c r="E139">
        <v>16</v>
      </c>
      <c r="F139">
        <v>6560</v>
      </c>
      <c r="G139">
        <v>5</v>
      </c>
      <c r="H139">
        <v>99712</v>
      </c>
      <c r="I139">
        <v>2024</v>
      </c>
      <c r="J139">
        <v>11</v>
      </c>
      <c r="K139">
        <v>4</v>
      </c>
      <c r="L139">
        <v>4</v>
      </c>
      <c r="M139">
        <v>322</v>
      </c>
    </row>
    <row r="140" spans="1:13" x14ac:dyDescent="0.35">
      <c r="A140" s="6">
        <v>45522</v>
      </c>
      <c r="B140" t="s">
        <v>39</v>
      </c>
      <c r="C140" t="s">
        <v>41</v>
      </c>
      <c r="D140" t="s">
        <v>32</v>
      </c>
      <c r="E140">
        <v>15</v>
      </c>
      <c r="F140">
        <v>4727</v>
      </c>
      <c r="G140">
        <v>10</v>
      </c>
      <c r="H140">
        <v>63814</v>
      </c>
      <c r="I140">
        <v>2024</v>
      </c>
      <c r="J140">
        <v>8</v>
      </c>
      <c r="K140">
        <v>3</v>
      </c>
      <c r="L140">
        <v>4</v>
      </c>
      <c r="M140">
        <v>231</v>
      </c>
    </row>
    <row r="141" spans="1:13" x14ac:dyDescent="0.35">
      <c r="A141" s="6">
        <v>45639</v>
      </c>
      <c r="B141" t="s">
        <v>26</v>
      </c>
      <c r="C141" t="s">
        <v>13</v>
      </c>
      <c r="D141" t="s">
        <v>32</v>
      </c>
      <c r="E141">
        <v>6</v>
      </c>
      <c r="F141">
        <v>5091</v>
      </c>
      <c r="G141">
        <v>0</v>
      </c>
      <c r="H141">
        <v>15810</v>
      </c>
      <c r="I141">
        <v>2024</v>
      </c>
      <c r="J141">
        <v>12</v>
      </c>
      <c r="K141">
        <v>4</v>
      </c>
      <c r="L141">
        <v>2</v>
      </c>
      <c r="M141">
        <v>348</v>
      </c>
    </row>
    <row r="142" spans="1:13" x14ac:dyDescent="0.35">
      <c r="A142" s="6">
        <v>45449</v>
      </c>
      <c r="B142" t="s">
        <v>47</v>
      </c>
      <c r="C142" t="s">
        <v>34</v>
      </c>
      <c r="D142" t="s">
        <v>17</v>
      </c>
      <c r="E142">
        <v>11</v>
      </c>
      <c r="F142">
        <v>4473</v>
      </c>
      <c r="G142">
        <v>15</v>
      </c>
      <c r="H142">
        <v>41823</v>
      </c>
      <c r="I142">
        <v>2024</v>
      </c>
      <c r="J142">
        <v>6</v>
      </c>
      <c r="K142">
        <v>2</v>
      </c>
      <c r="L142">
        <v>2</v>
      </c>
      <c r="M142">
        <v>158</v>
      </c>
    </row>
    <row r="143" spans="1:13" x14ac:dyDescent="0.35">
      <c r="A143" s="6">
        <v>45527</v>
      </c>
      <c r="B143" t="s">
        <v>27</v>
      </c>
      <c r="C143" t="s">
        <v>16</v>
      </c>
      <c r="D143" t="s">
        <v>21</v>
      </c>
      <c r="E143">
        <v>26</v>
      </c>
      <c r="F143">
        <v>4181</v>
      </c>
      <c r="G143">
        <v>10</v>
      </c>
      <c r="H143">
        <v>97835</v>
      </c>
      <c r="I143">
        <v>2024</v>
      </c>
      <c r="J143">
        <v>8</v>
      </c>
      <c r="K143">
        <v>3</v>
      </c>
      <c r="L143">
        <v>4</v>
      </c>
      <c r="M143">
        <v>236</v>
      </c>
    </row>
    <row r="144" spans="1:13" x14ac:dyDescent="0.35">
      <c r="A144" s="6">
        <v>45412</v>
      </c>
      <c r="B144" t="s">
        <v>57</v>
      </c>
      <c r="C144" t="s">
        <v>40</v>
      </c>
      <c r="D144" t="s">
        <v>30</v>
      </c>
      <c r="E144">
        <v>22</v>
      </c>
      <c r="F144">
        <v>562</v>
      </c>
      <c r="G144">
        <v>0</v>
      </c>
      <c r="H144">
        <v>12364</v>
      </c>
      <c r="I144">
        <v>2024</v>
      </c>
      <c r="J144">
        <v>4</v>
      </c>
      <c r="K144">
        <v>2</v>
      </c>
      <c r="L144">
        <v>5</v>
      </c>
      <c r="M144">
        <v>121</v>
      </c>
    </row>
    <row r="145" spans="1:13" x14ac:dyDescent="0.35">
      <c r="A145" s="6">
        <v>45367</v>
      </c>
      <c r="B145" t="s">
        <v>27</v>
      </c>
      <c r="C145" t="s">
        <v>20</v>
      </c>
      <c r="D145" t="s">
        <v>17</v>
      </c>
      <c r="E145">
        <v>29</v>
      </c>
      <c r="F145">
        <v>5188</v>
      </c>
      <c r="G145">
        <v>15</v>
      </c>
      <c r="H145">
        <v>127884</v>
      </c>
      <c r="I145">
        <v>2024</v>
      </c>
      <c r="J145">
        <v>3</v>
      </c>
      <c r="K145">
        <v>1</v>
      </c>
      <c r="L145">
        <v>3</v>
      </c>
      <c r="M145">
        <v>76</v>
      </c>
    </row>
    <row r="146" spans="1:13" x14ac:dyDescent="0.35">
      <c r="A146" s="6">
        <v>45611</v>
      </c>
      <c r="B146" t="s">
        <v>55</v>
      </c>
      <c r="C146" t="s">
        <v>40</v>
      </c>
      <c r="D146" t="s">
        <v>53</v>
      </c>
      <c r="E146">
        <v>30</v>
      </c>
      <c r="F146">
        <v>1222</v>
      </c>
      <c r="G146">
        <v>0</v>
      </c>
      <c r="H146">
        <v>36660</v>
      </c>
      <c r="I146">
        <v>2024</v>
      </c>
      <c r="J146">
        <v>11</v>
      </c>
      <c r="K146">
        <v>4</v>
      </c>
      <c r="L146">
        <v>3</v>
      </c>
      <c r="M146">
        <v>320</v>
      </c>
    </row>
    <row r="147" spans="1:13" x14ac:dyDescent="0.35">
      <c r="A147" s="6">
        <v>45601</v>
      </c>
      <c r="B147" t="s">
        <v>49</v>
      </c>
      <c r="C147" t="s">
        <v>89</v>
      </c>
      <c r="D147" t="s">
        <v>28</v>
      </c>
      <c r="E147">
        <v>23</v>
      </c>
      <c r="F147">
        <v>6236</v>
      </c>
      <c r="G147">
        <v>15</v>
      </c>
      <c r="H147">
        <v>121914</v>
      </c>
      <c r="I147">
        <v>2024</v>
      </c>
      <c r="J147">
        <v>11</v>
      </c>
      <c r="K147">
        <v>4</v>
      </c>
      <c r="L147">
        <v>2</v>
      </c>
      <c r="M147">
        <v>310</v>
      </c>
    </row>
    <row r="148" spans="1:13" x14ac:dyDescent="0.35">
      <c r="A148" s="6">
        <v>45476</v>
      </c>
      <c r="B148" t="s">
        <v>49</v>
      </c>
      <c r="C148" t="s">
        <v>20</v>
      </c>
      <c r="D148" t="s">
        <v>23</v>
      </c>
      <c r="E148">
        <v>24</v>
      </c>
      <c r="F148">
        <v>48181</v>
      </c>
      <c r="G148">
        <v>0</v>
      </c>
      <c r="H148">
        <v>1156344</v>
      </c>
      <c r="I148">
        <v>2024</v>
      </c>
      <c r="J148">
        <v>7</v>
      </c>
      <c r="K148">
        <v>3</v>
      </c>
      <c r="L148">
        <v>1</v>
      </c>
      <c r="M148">
        <v>185</v>
      </c>
    </row>
    <row r="149" spans="1:13" x14ac:dyDescent="0.35">
      <c r="A149" s="6">
        <v>45601</v>
      </c>
      <c r="B149" t="s">
        <v>50</v>
      </c>
      <c r="C149" t="s">
        <v>13</v>
      </c>
      <c r="D149" t="s">
        <v>23</v>
      </c>
      <c r="E149">
        <v>21</v>
      </c>
      <c r="F149">
        <v>49766</v>
      </c>
      <c r="G149">
        <v>16</v>
      </c>
      <c r="H149">
        <v>1045086</v>
      </c>
      <c r="I149">
        <v>2024</v>
      </c>
      <c r="J149">
        <v>11</v>
      </c>
      <c r="K149">
        <v>4</v>
      </c>
      <c r="L149">
        <v>2</v>
      </c>
      <c r="M149">
        <v>310</v>
      </c>
    </row>
    <row r="150" spans="1:13" x14ac:dyDescent="0.35">
      <c r="A150" s="6">
        <v>45298</v>
      </c>
      <c r="B150" t="s">
        <v>51</v>
      </c>
      <c r="C150" t="s">
        <v>16</v>
      </c>
      <c r="D150" t="s">
        <v>23</v>
      </c>
      <c r="E150">
        <v>6</v>
      </c>
      <c r="F150">
        <v>49740</v>
      </c>
      <c r="G150">
        <v>10</v>
      </c>
      <c r="H150">
        <v>268596</v>
      </c>
      <c r="I150">
        <v>2024</v>
      </c>
      <c r="J150">
        <v>1</v>
      </c>
      <c r="K150">
        <v>1</v>
      </c>
      <c r="L150">
        <v>2</v>
      </c>
      <c r="M150">
        <v>7</v>
      </c>
    </row>
    <row r="151" spans="1:13" x14ac:dyDescent="0.35">
      <c r="A151" s="6">
        <v>45517</v>
      </c>
      <c r="B151" t="s">
        <v>29</v>
      </c>
      <c r="C151" t="s">
        <v>16</v>
      </c>
      <c r="D151" t="s">
        <v>19</v>
      </c>
      <c r="E151">
        <v>8</v>
      </c>
      <c r="F151">
        <v>14644</v>
      </c>
      <c r="G151">
        <v>10</v>
      </c>
      <c r="H151">
        <v>105437</v>
      </c>
      <c r="I151">
        <v>2024</v>
      </c>
      <c r="J151">
        <v>8</v>
      </c>
      <c r="K151">
        <v>3</v>
      </c>
      <c r="L151">
        <v>3</v>
      </c>
      <c r="M151">
        <v>226</v>
      </c>
    </row>
    <row r="152" spans="1:13" x14ac:dyDescent="0.35">
      <c r="A152" s="6">
        <v>45633</v>
      </c>
      <c r="B152" t="s">
        <v>56</v>
      </c>
      <c r="C152" t="s">
        <v>11</v>
      </c>
      <c r="D152" t="s">
        <v>42</v>
      </c>
      <c r="E152">
        <v>19</v>
      </c>
      <c r="F152">
        <v>20849</v>
      </c>
      <c r="G152">
        <v>0</v>
      </c>
      <c r="H152">
        <v>396131</v>
      </c>
      <c r="I152">
        <v>2024</v>
      </c>
      <c r="J152">
        <v>12</v>
      </c>
      <c r="K152">
        <v>4</v>
      </c>
      <c r="L152">
        <v>1</v>
      </c>
      <c r="M152">
        <v>342</v>
      </c>
    </row>
    <row r="153" spans="1:13" x14ac:dyDescent="0.35">
      <c r="A153" s="6">
        <v>45494</v>
      </c>
      <c r="B153" t="s">
        <v>58</v>
      </c>
      <c r="C153" t="s">
        <v>13</v>
      </c>
      <c r="D153" t="s">
        <v>9</v>
      </c>
      <c r="E153">
        <v>20</v>
      </c>
      <c r="F153">
        <v>5645</v>
      </c>
      <c r="G153">
        <v>15</v>
      </c>
      <c r="H153">
        <v>95965</v>
      </c>
      <c r="I153">
        <v>2024</v>
      </c>
      <c r="J153">
        <v>7</v>
      </c>
      <c r="K153">
        <v>3</v>
      </c>
      <c r="L153">
        <v>4</v>
      </c>
      <c r="M153">
        <v>203</v>
      </c>
    </row>
    <row r="154" spans="1:13" x14ac:dyDescent="0.35">
      <c r="A154" s="6">
        <v>45527</v>
      </c>
      <c r="B154" t="s">
        <v>33</v>
      </c>
      <c r="C154" t="s">
        <v>20</v>
      </c>
      <c r="D154" t="s">
        <v>19</v>
      </c>
      <c r="E154">
        <v>5</v>
      </c>
      <c r="F154">
        <v>11028</v>
      </c>
      <c r="G154">
        <v>16</v>
      </c>
      <c r="H154">
        <v>55140</v>
      </c>
      <c r="I154">
        <v>2024</v>
      </c>
      <c r="J154">
        <v>8</v>
      </c>
      <c r="K154">
        <v>3</v>
      </c>
      <c r="L154">
        <v>4</v>
      </c>
      <c r="M154">
        <v>236</v>
      </c>
    </row>
    <row r="155" spans="1:13" x14ac:dyDescent="0.35">
      <c r="A155" s="6">
        <v>45401</v>
      </c>
      <c r="B155" t="s">
        <v>39</v>
      </c>
      <c r="C155" t="s">
        <v>11</v>
      </c>
      <c r="D155" t="s">
        <v>21</v>
      </c>
      <c r="E155">
        <v>28</v>
      </c>
      <c r="F155">
        <v>718</v>
      </c>
      <c r="G155">
        <v>15</v>
      </c>
      <c r="H155">
        <v>17088</v>
      </c>
      <c r="I155">
        <v>2024</v>
      </c>
      <c r="J155">
        <v>4</v>
      </c>
      <c r="K155">
        <v>2</v>
      </c>
      <c r="L155">
        <v>3</v>
      </c>
      <c r="M155">
        <v>110</v>
      </c>
    </row>
    <row r="156" spans="1:13" x14ac:dyDescent="0.35">
      <c r="A156" s="6">
        <v>45493</v>
      </c>
      <c r="B156" t="s">
        <v>89</v>
      </c>
      <c r="C156" t="s">
        <v>34</v>
      </c>
      <c r="D156" t="s">
        <v>19</v>
      </c>
      <c r="E156">
        <v>23</v>
      </c>
      <c r="F156">
        <v>10642</v>
      </c>
      <c r="G156">
        <v>5</v>
      </c>
      <c r="H156">
        <v>232528</v>
      </c>
      <c r="I156">
        <v>2024</v>
      </c>
      <c r="J156">
        <v>7</v>
      </c>
      <c r="K156">
        <v>3</v>
      </c>
      <c r="L156">
        <v>3</v>
      </c>
      <c r="M156">
        <v>202</v>
      </c>
    </row>
    <row r="157" spans="1:13" x14ac:dyDescent="0.35">
      <c r="A157" s="6">
        <v>45499</v>
      </c>
      <c r="B157" t="s">
        <v>10</v>
      </c>
      <c r="C157" t="s">
        <v>20</v>
      </c>
      <c r="D157" t="s">
        <v>42</v>
      </c>
      <c r="E157">
        <v>22</v>
      </c>
      <c r="F157">
        <v>22283</v>
      </c>
      <c r="G157">
        <v>10</v>
      </c>
      <c r="H157">
        <v>441203</v>
      </c>
      <c r="I157">
        <v>2024</v>
      </c>
      <c r="J157">
        <v>7</v>
      </c>
      <c r="K157">
        <v>3</v>
      </c>
      <c r="L157">
        <v>4</v>
      </c>
      <c r="M157">
        <v>208</v>
      </c>
    </row>
    <row r="158" spans="1:13" x14ac:dyDescent="0.35">
      <c r="A158" s="6">
        <v>45480</v>
      </c>
      <c r="B158" t="s">
        <v>44</v>
      </c>
      <c r="C158" t="s">
        <v>25</v>
      </c>
      <c r="D158" t="s">
        <v>30</v>
      </c>
      <c r="E158">
        <v>16</v>
      </c>
      <c r="F158">
        <v>307</v>
      </c>
      <c r="G158">
        <v>5</v>
      </c>
      <c r="H158">
        <v>4666</v>
      </c>
      <c r="I158">
        <v>2024</v>
      </c>
      <c r="J158">
        <v>7</v>
      </c>
      <c r="K158">
        <v>3</v>
      </c>
      <c r="L158">
        <v>2</v>
      </c>
      <c r="M158">
        <v>189</v>
      </c>
    </row>
    <row r="159" spans="1:13" x14ac:dyDescent="0.35">
      <c r="A159" s="6">
        <v>45311</v>
      </c>
      <c r="B159" t="s">
        <v>58</v>
      </c>
      <c r="C159" t="s">
        <v>25</v>
      </c>
      <c r="D159" t="s">
        <v>42</v>
      </c>
      <c r="E159">
        <v>16</v>
      </c>
      <c r="F159">
        <v>20538</v>
      </c>
      <c r="G159">
        <v>10</v>
      </c>
      <c r="H159">
        <v>443621</v>
      </c>
      <c r="I159">
        <v>2024</v>
      </c>
      <c r="J159">
        <v>1</v>
      </c>
      <c r="K159">
        <v>1</v>
      </c>
      <c r="L159">
        <v>3</v>
      </c>
      <c r="M159">
        <v>20</v>
      </c>
    </row>
    <row r="160" spans="1:13" x14ac:dyDescent="0.35">
      <c r="A160" s="6">
        <v>45644</v>
      </c>
      <c r="B160" t="s">
        <v>10</v>
      </c>
      <c r="C160" t="s">
        <v>40</v>
      </c>
      <c r="D160" t="s">
        <v>23</v>
      </c>
      <c r="E160">
        <v>29</v>
      </c>
      <c r="F160">
        <v>52564</v>
      </c>
      <c r="G160">
        <v>20</v>
      </c>
      <c r="H160">
        <v>1219485</v>
      </c>
      <c r="I160">
        <v>2024</v>
      </c>
      <c r="J160">
        <v>12</v>
      </c>
      <c r="K160">
        <v>4</v>
      </c>
      <c r="L160">
        <v>3</v>
      </c>
      <c r="M160">
        <v>353</v>
      </c>
    </row>
    <row r="161" spans="1:13" x14ac:dyDescent="0.35">
      <c r="A161" s="6">
        <v>45383</v>
      </c>
      <c r="B161" t="s">
        <v>47</v>
      </c>
      <c r="C161" t="s">
        <v>40</v>
      </c>
      <c r="D161" t="s">
        <v>30</v>
      </c>
      <c r="E161">
        <v>23</v>
      </c>
      <c r="F161">
        <v>902</v>
      </c>
      <c r="G161">
        <v>20</v>
      </c>
      <c r="H161">
        <v>16597</v>
      </c>
      <c r="I161">
        <v>2024</v>
      </c>
      <c r="J161">
        <v>4</v>
      </c>
      <c r="K161">
        <v>2</v>
      </c>
      <c r="L161">
        <v>1</v>
      </c>
      <c r="M161">
        <v>92</v>
      </c>
    </row>
    <row r="162" spans="1:13" x14ac:dyDescent="0.35">
      <c r="A162" s="6">
        <v>45321</v>
      </c>
      <c r="B162" t="s">
        <v>43</v>
      </c>
      <c r="C162" t="s">
        <v>11</v>
      </c>
      <c r="D162" t="s">
        <v>23</v>
      </c>
      <c r="E162">
        <v>2</v>
      </c>
      <c r="F162">
        <v>49988</v>
      </c>
      <c r="G162">
        <v>10</v>
      </c>
      <c r="H162">
        <v>89978</v>
      </c>
      <c r="I162">
        <v>2024</v>
      </c>
      <c r="J162">
        <v>1</v>
      </c>
      <c r="K162">
        <v>1</v>
      </c>
      <c r="L162">
        <v>5</v>
      </c>
      <c r="M162">
        <v>30</v>
      </c>
    </row>
    <row r="163" spans="1:13" x14ac:dyDescent="0.35">
      <c r="A163" s="6">
        <v>45558</v>
      </c>
      <c r="B163" t="s">
        <v>35</v>
      </c>
      <c r="C163" t="s">
        <v>13</v>
      </c>
      <c r="D163" t="s">
        <v>21</v>
      </c>
      <c r="E163">
        <v>23</v>
      </c>
      <c r="F163">
        <v>3376</v>
      </c>
      <c r="G163">
        <v>16</v>
      </c>
      <c r="H163">
        <v>77648</v>
      </c>
      <c r="I163">
        <v>2024</v>
      </c>
      <c r="J163">
        <v>9</v>
      </c>
      <c r="K163">
        <v>3</v>
      </c>
      <c r="L163">
        <v>4</v>
      </c>
      <c r="M163">
        <v>267</v>
      </c>
    </row>
    <row r="164" spans="1:13" x14ac:dyDescent="0.35">
      <c r="A164" s="6">
        <v>45467</v>
      </c>
      <c r="B164" t="s">
        <v>8</v>
      </c>
      <c r="C164" t="s">
        <v>16</v>
      </c>
      <c r="D164" t="s">
        <v>32</v>
      </c>
      <c r="E164">
        <v>9</v>
      </c>
      <c r="F164">
        <v>4197</v>
      </c>
      <c r="G164">
        <v>15</v>
      </c>
      <c r="H164">
        <v>32107</v>
      </c>
      <c r="I164">
        <v>2024</v>
      </c>
      <c r="J164">
        <v>6</v>
      </c>
      <c r="K164">
        <v>2</v>
      </c>
      <c r="L164">
        <v>5</v>
      </c>
      <c r="M164">
        <v>176</v>
      </c>
    </row>
    <row r="165" spans="1:13" x14ac:dyDescent="0.35">
      <c r="A165" s="6">
        <v>45507</v>
      </c>
      <c r="B165" t="s">
        <v>31</v>
      </c>
      <c r="C165" t="s">
        <v>40</v>
      </c>
      <c r="D165" t="s">
        <v>53</v>
      </c>
      <c r="E165">
        <v>25</v>
      </c>
      <c r="F165">
        <v>18</v>
      </c>
      <c r="G165">
        <v>20</v>
      </c>
      <c r="H165">
        <v>360</v>
      </c>
      <c r="I165">
        <v>2024</v>
      </c>
      <c r="J165">
        <v>8</v>
      </c>
      <c r="K165">
        <v>3</v>
      </c>
      <c r="L165">
        <v>1</v>
      </c>
      <c r="M165">
        <v>216</v>
      </c>
    </row>
    <row r="166" spans="1:13" x14ac:dyDescent="0.35">
      <c r="A166" s="6">
        <v>45473</v>
      </c>
      <c r="B166" t="s">
        <v>26</v>
      </c>
      <c r="C166" t="s">
        <v>89</v>
      </c>
      <c r="D166" t="s">
        <v>28</v>
      </c>
      <c r="E166">
        <v>20</v>
      </c>
      <c r="F166">
        <v>2940</v>
      </c>
      <c r="G166">
        <v>16</v>
      </c>
      <c r="H166">
        <v>58800</v>
      </c>
      <c r="I166">
        <v>2024</v>
      </c>
      <c r="J166">
        <v>6</v>
      </c>
      <c r="K166">
        <v>2</v>
      </c>
      <c r="L166">
        <v>6</v>
      </c>
      <c r="M166">
        <v>182</v>
      </c>
    </row>
    <row r="167" spans="1:13" x14ac:dyDescent="0.35">
      <c r="A167" s="6">
        <v>45300</v>
      </c>
      <c r="B167" t="s">
        <v>37</v>
      </c>
      <c r="C167" t="s">
        <v>41</v>
      </c>
      <c r="D167" t="s">
        <v>9</v>
      </c>
      <c r="E167">
        <v>23</v>
      </c>
      <c r="F167">
        <v>8589</v>
      </c>
      <c r="G167">
        <v>5</v>
      </c>
      <c r="H167">
        <v>187670</v>
      </c>
      <c r="I167">
        <v>2024</v>
      </c>
      <c r="J167">
        <v>1</v>
      </c>
      <c r="K167">
        <v>1</v>
      </c>
      <c r="L167">
        <v>2</v>
      </c>
      <c r="M167">
        <v>9</v>
      </c>
    </row>
    <row r="168" spans="1:13" x14ac:dyDescent="0.35">
      <c r="A168" s="6">
        <v>45558</v>
      </c>
      <c r="B168" t="s">
        <v>58</v>
      </c>
      <c r="C168" t="s">
        <v>40</v>
      </c>
      <c r="D168" t="s">
        <v>53</v>
      </c>
      <c r="E168">
        <v>2</v>
      </c>
      <c r="F168">
        <v>916</v>
      </c>
      <c r="G168">
        <v>16</v>
      </c>
      <c r="H168">
        <v>1832</v>
      </c>
      <c r="I168">
        <v>2024</v>
      </c>
      <c r="J168">
        <v>9</v>
      </c>
      <c r="K168">
        <v>3</v>
      </c>
      <c r="L168">
        <v>4</v>
      </c>
      <c r="M168">
        <v>267</v>
      </c>
    </row>
    <row r="169" spans="1:13" x14ac:dyDescent="0.35">
      <c r="A169" s="6">
        <v>45443</v>
      </c>
      <c r="B169" t="s">
        <v>33</v>
      </c>
      <c r="C169" t="s">
        <v>11</v>
      </c>
      <c r="D169" t="s">
        <v>30</v>
      </c>
      <c r="E169">
        <v>25</v>
      </c>
      <c r="F169">
        <v>3489</v>
      </c>
      <c r="G169">
        <v>10</v>
      </c>
      <c r="H169">
        <v>78502</v>
      </c>
      <c r="I169">
        <v>2024</v>
      </c>
      <c r="J169">
        <v>5</v>
      </c>
      <c r="K169">
        <v>2</v>
      </c>
      <c r="L169">
        <v>5</v>
      </c>
      <c r="M169">
        <v>152</v>
      </c>
    </row>
    <row r="170" spans="1:13" x14ac:dyDescent="0.35">
      <c r="A170" s="6">
        <v>45619</v>
      </c>
      <c r="B170" t="s">
        <v>89</v>
      </c>
      <c r="C170" t="s">
        <v>25</v>
      </c>
      <c r="D170" t="s">
        <v>23</v>
      </c>
      <c r="E170">
        <v>7</v>
      </c>
      <c r="F170">
        <v>50161</v>
      </c>
      <c r="G170">
        <v>0</v>
      </c>
      <c r="H170">
        <v>351127</v>
      </c>
      <c r="I170">
        <v>2024</v>
      </c>
      <c r="J170">
        <v>11</v>
      </c>
      <c r="K170">
        <v>4</v>
      </c>
      <c r="L170">
        <v>4</v>
      </c>
      <c r="M170">
        <v>328</v>
      </c>
    </row>
    <row r="171" spans="1:13" x14ac:dyDescent="0.35">
      <c r="A171" s="6">
        <v>45365</v>
      </c>
      <c r="B171" t="s">
        <v>12</v>
      </c>
      <c r="C171" t="s">
        <v>40</v>
      </c>
      <c r="D171" t="s">
        <v>14</v>
      </c>
      <c r="E171">
        <v>29</v>
      </c>
      <c r="F171">
        <v>3619</v>
      </c>
      <c r="G171">
        <v>16</v>
      </c>
      <c r="H171">
        <v>104951</v>
      </c>
      <c r="I171">
        <v>2024</v>
      </c>
      <c r="J171">
        <v>3</v>
      </c>
      <c r="K171">
        <v>1</v>
      </c>
      <c r="L171">
        <v>3</v>
      </c>
      <c r="M171">
        <v>74</v>
      </c>
    </row>
    <row r="172" spans="1:13" x14ac:dyDescent="0.35">
      <c r="A172" s="6">
        <v>45368</v>
      </c>
      <c r="B172" t="s">
        <v>43</v>
      </c>
      <c r="C172" t="s">
        <v>36</v>
      </c>
      <c r="D172" t="s">
        <v>32</v>
      </c>
      <c r="E172">
        <v>23</v>
      </c>
      <c r="F172">
        <v>5533</v>
      </c>
      <c r="G172">
        <v>20</v>
      </c>
      <c r="H172">
        <v>101807</v>
      </c>
      <c r="I172">
        <v>2024</v>
      </c>
      <c r="J172">
        <v>3</v>
      </c>
      <c r="K172">
        <v>1</v>
      </c>
      <c r="L172">
        <v>4</v>
      </c>
      <c r="M172">
        <v>77</v>
      </c>
    </row>
    <row r="173" spans="1:13" x14ac:dyDescent="0.35">
      <c r="A173" s="6">
        <v>45467</v>
      </c>
      <c r="B173" t="s">
        <v>29</v>
      </c>
      <c r="C173" t="s">
        <v>34</v>
      </c>
      <c r="D173" t="s">
        <v>23</v>
      </c>
      <c r="E173">
        <v>20</v>
      </c>
      <c r="F173">
        <v>50838</v>
      </c>
      <c r="G173">
        <v>10</v>
      </c>
      <c r="H173">
        <v>915084</v>
      </c>
      <c r="I173">
        <v>2024</v>
      </c>
      <c r="J173">
        <v>6</v>
      </c>
      <c r="K173">
        <v>2</v>
      </c>
      <c r="L173">
        <v>5</v>
      </c>
      <c r="M173">
        <v>176</v>
      </c>
    </row>
    <row r="174" spans="1:13" x14ac:dyDescent="0.35">
      <c r="A174" s="6">
        <v>45503</v>
      </c>
      <c r="B174" t="s">
        <v>22</v>
      </c>
      <c r="C174" t="s">
        <v>25</v>
      </c>
      <c r="D174" t="s">
        <v>21</v>
      </c>
      <c r="E174">
        <v>26</v>
      </c>
      <c r="F174">
        <v>4467</v>
      </c>
      <c r="G174">
        <v>16</v>
      </c>
      <c r="H174">
        <v>116142</v>
      </c>
      <c r="I174">
        <v>2024</v>
      </c>
      <c r="J174">
        <v>7</v>
      </c>
      <c r="K174">
        <v>3</v>
      </c>
      <c r="L174">
        <v>5</v>
      </c>
      <c r="M174">
        <v>212</v>
      </c>
    </row>
    <row r="175" spans="1:13" x14ac:dyDescent="0.35">
      <c r="A175" s="6">
        <v>45326</v>
      </c>
      <c r="B175" t="s">
        <v>48</v>
      </c>
      <c r="C175" t="s">
        <v>36</v>
      </c>
      <c r="D175" t="s">
        <v>14</v>
      </c>
      <c r="E175">
        <v>16</v>
      </c>
      <c r="F175">
        <v>385</v>
      </c>
      <c r="G175">
        <v>16</v>
      </c>
      <c r="H175">
        <v>6545</v>
      </c>
      <c r="I175">
        <v>2024</v>
      </c>
      <c r="J175">
        <v>2</v>
      </c>
      <c r="K175">
        <v>1</v>
      </c>
      <c r="L175">
        <v>2</v>
      </c>
      <c r="M175">
        <v>35</v>
      </c>
    </row>
    <row r="176" spans="1:13" x14ac:dyDescent="0.35">
      <c r="A176" s="6">
        <v>45575</v>
      </c>
      <c r="B176" t="s">
        <v>50</v>
      </c>
      <c r="C176" t="s">
        <v>41</v>
      </c>
      <c r="D176" t="s">
        <v>42</v>
      </c>
      <c r="E176">
        <v>9</v>
      </c>
      <c r="F176">
        <v>19233</v>
      </c>
      <c r="G176">
        <v>16</v>
      </c>
      <c r="H176">
        <v>173097</v>
      </c>
      <c r="I176">
        <v>2024</v>
      </c>
      <c r="J176">
        <v>10</v>
      </c>
      <c r="K176">
        <v>4</v>
      </c>
      <c r="L176">
        <v>2</v>
      </c>
      <c r="M176">
        <v>284</v>
      </c>
    </row>
    <row r="177" spans="1:13" x14ac:dyDescent="0.35">
      <c r="A177" s="6">
        <v>45363</v>
      </c>
      <c r="B177" t="s">
        <v>58</v>
      </c>
      <c r="C177" t="s">
        <v>20</v>
      </c>
      <c r="D177" t="s">
        <v>14</v>
      </c>
      <c r="E177">
        <v>2</v>
      </c>
      <c r="F177">
        <v>3750</v>
      </c>
      <c r="G177">
        <v>0</v>
      </c>
      <c r="H177">
        <v>7500</v>
      </c>
      <c r="I177">
        <v>2024</v>
      </c>
      <c r="J177">
        <v>3</v>
      </c>
      <c r="K177">
        <v>1</v>
      </c>
      <c r="L177">
        <v>3</v>
      </c>
      <c r="M177">
        <v>72</v>
      </c>
    </row>
    <row r="178" spans="1:13" x14ac:dyDescent="0.35">
      <c r="A178" s="6">
        <v>45442</v>
      </c>
      <c r="B178" t="s">
        <v>51</v>
      </c>
      <c r="C178" t="s">
        <v>13</v>
      </c>
      <c r="D178" t="s">
        <v>19</v>
      </c>
      <c r="E178">
        <v>21</v>
      </c>
      <c r="F178">
        <v>13853</v>
      </c>
      <c r="G178">
        <v>20</v>
      </c>
      <c r="H178">
        <v>232730</v>
      </c>
      <c r="I178">
        <v>2024</v>
      </c>
      <c r="J178">
        <v>5</v>
      </c>
      <c r="K178">
        <v>2</v>
      </c>
      <c r="L178">
        <v>5</v>
      </c>
      <c r="M178">
        <v>151</v>
      </c>
    </row>
    <row r="179" spans="1:13" x14ac:dyDescent="0.35">
      <c r="A179" s="6">
        <v>45515</v>
      </c>
      <c r="B179" t="s">
        <v>55</v>
      </c>
      <c r="C179" t="s">
        <v>34</v>
      </c>
      <c r="D179" t="s">
        <v>17</v>
      </c>
      <c r="E179">
        <v>10</v>
      </c>
      <c r="F179">
        <v>527</v>
      </c>
      <c r="G179">
        <v>16</v>
      </c>
      <c r="H179">
        <v>5270</v>
      </c>
      <c r="I179">
        <v>2024</v>
      </c>
      <c r="J179">
        <v>8</v>
      </c>
      <c r="K179">
        <v>3</v>
      </c>
      <c r="L179">
        <v>3</v>
      </c>
      <c r="M179">
        <v>224</v>
      </c>
    </row>
    <row r="180" spans="1:13" x14ac:dyDescent="0.35">
      <c r="A180" s="6">
        <v>45561</v>
      </c>
      <c r="B180" t="s">
        <v>29</v>
      </c>
      <c r="C180" t="s">
        <v>41</v>
      </c>
      <c r="D180" t="s">
        <v>17</v>
      </c>
      <c r="E180">
        <v>28</v>
      </c>
      <c r="F180">
        <v>2687</v>
      </c>
      <c r="G180">
        <v>15</v>
      </c>
      <c r="H180">
        <v>63951</v>
      </c>
      <c r="I180">
        <v>2024</v>
      </c>
      <c r="J180">
        <v>9</v>
      </c>
      <c r="K180">
        <v>3</v>
      </c>
      <c r="L180">
        <v>4</v>
      </c>
      <c r="M180">
        <v>270</v>
      </c>
    </row>
    <row r="181" spans="1:13" x14ac:dyDescent="0.35">
      <c r="A181" s="6">
        <v>45570</v>
      </c>
      <c r="B181" t="s">
        <v>55</v>
      </c>
      <c r="C181" t="s">
        <v>16</v>
      </c>
      <c r="D181" t="s">
        <v>9</v>
      </c>
      <c r="E181">
        <v>14</v>
      </c>
      <c r="F181">
        <v>6703</v>
      </c>
      <c r="G181">
        <v>20</v>
      </c>
      <c r="H181">
        <v>75074</v>
      </c>
      <c r="I181">
        <v>2024</v>
      </c>
      <c r="J181">
        <v>10</v>
      </c>
      <c r="K181">
        <v>4</v>
      </c>
      <c r="L181">
        <v>1</v>
      </c>
      <c r="M181">
        <v>279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06568-68B7-4CF6-AEAF-788600AAC4BE}">
  <dimension ref="A1:M48"/>
  <sheetViews>
    <sheetView workbookViewId="0">
      <selection activeCell="A3" sqref="A3:M48"/>
    </sheetView>
  </sheetViews>
  <sheetFormatPr defaultRowHeight="14.5" x14ac:dyDescent="0.35"/>
  <cols>
    <col min="1" max="1" width="9.453125" bestFit="1" customWidth="1"/>
    <col min="2" max="2" width="11.26953125" bestFit="1" customWidth="1"/>
    <col min="3" max="3" width="9.54296875" bestFit="1" customWidth="1"/>
    <col min="4" max="4" width="11.36328125" bestFit="1" customWidth="1"/>
    <col min="5" max="5" width="10.453125" bestFit="1" customWidth="1"/>
    <col min="6" max="6" width="10.7265625" bestFit="1" customWidth="1"/>
    <col min="7" max="7" width="11.90625" bestFit="1" customWidth="1"/>
    <col min="8" max="8" width="11.54296875" bestFit="1" customWidth="1"/>
    <col min="9" max="10" width="8.81640625" bestFit="1" customWidth="1"/>
    <col min="11" max="11" width="9.7265625" bestFit="1" customWidth="1"/>
    <col min="12" max="12" width="16.36328125" bestFit="1" customWidth="1"/>
    <col min="13" max="13" width="12.6328125" bestFit="1" customWidth="1"/>
  </cols>
  <sheetData>
    <row r="1" spans="1:13" x14ac:dyDescent="0.35">
      <c r="A1" s="3" t="s">
        <v>100</v>
      </c>
    </row>
    <row r="3" spans="1:13" x14ac:dyDescent="0.35">
      <c r="A3" t="s">
        <v>0</v>
      </c>
      <c r="B3" t="s">
        <v>1</v>
      </c>
      <c r="C3" t="s">
        <v>2</v>
      </c>
      <c r="D3" t="s">
        <v>3</v>
      </c>
      <c r="E3" t="s">
        <v>4</v>
      </c>
      <c r="F3" t="s">
        <v>5</v>
      </c>
      <c r="G3" t="s">
        <v>6</v>
      </c>
      <c r="H3" t="s">
        <v>7</v>
      </c>
      <c r="I3" t="s">
        <v>90</v>
      </c>
      <c r="J3" t="s">
        <v>91</v>
      </c>
      <c r="K3" t="s">
        <v>92</v>
      </c>
      <c r="L3" t="s">
        <v>93</v>
      </c>
      <c r="M3" t="s">
        <v>94</v>
      </c>
    </row>
    <row r="4" spans="1:13" x14ac:dyDescent="0.35">
      <c r="A4" s="6">
        <v>45363</v>
      </c>
      <c r="B4" t="s">
        <v>58</v>
      </c>
      <c r="C4" t="s">
        <v>20</v>
      </c>
      <c r="D4" t="s">
        <v>14</v>
      </c>
      <c r="E4">
        <v>2</v>
      </c>
      <c r="F4">
        <v>3750</v>
      </c>
      <c r="G4">
        <v>0</v>
      </c>
      <c r="H4">
        <v>7500</v>
      </c>
      <c r="I4">
        <v>2024</v>
      </c>
      <c r="J4">
        <v>3</v>
      </c>
      <c r="K4">
        <v>1</v>
      </c>
      <c r="L4">
        <v>3</v>
      </c>
      <c r="M4">
        <v>72</v>
      </c>
    </row>
    <row r="5" spans="1:13" x14ac:dyDescent="0.35">
      <c r="A5" s="6">
        <v>45326</v>
      </c>
      <c r="B5" t="s">
        <v>48</v>
      </c>
      <c r="C5" t="s">
        <v>36</v>
      </c>
      <c r="D5" t="s">
        <v>14</v>
      </c>
      <c r="E5">
        <v>16</v>
      </c>
      <c r="F5">
        <v>385</v>
      </c>
      <c r="G5">
        <v>16</v>
      </c>
      <c r="H5">
        <v>6545</v>
      </c>
      <c r="I5">
        <v>2024</v>
      </c>
      <c r="J5">
        <v>2</v>
      </c>
      <c r="K5">
        <v>1</v>
      </c>
      <c r="L5">
        <v>2</v>
      </c>
      <c r="M5">
        <v>35</v>
      </c>
    </row>
    <row r="6" spans="1:13" x14ac:dyDescent="0.35">
      <c r="A6" s="6">
        <v>45368</v>
      </c>
      <c r="B6" t="s">
        <v>43</v>
      </c>
      <c r="C6" t="s">
        <v>36</v>
      </c>
      <c r="D6" t="s">
        <v>32</v>
      </c>
      <c r="E6">
        <v>23</v>
      </c>
      <c r="F6">
        <v>5533</v>
      </c>
      <c r="G6">
        <v>20</v>
      </c>
      <c r="H6">
        <v>101807</v>
      </c>
      <c r="I6">
        <v>2024</v>
      </c>
      <c r="J6">
        <v>3</v>
      </c>
      <c r="K6">
        <v>1</v>
      </c>
      <c r="L6">
        <v>4</v>
      </c>
      <c r="M6">
        <v>77</v>
      </c>
    </row>
    <row r="7" spans="1:13" x14ac:dyDescent="0.35">
      <c r="A7" s="6">
        <v>45365</v>
      </c>
      <c r="B7" t="s">
        <v>12</v>
      </c>
      <c r="C7" t="s">
        <v>40</v>
      </c>
      <c r="D7" t="s">
        <v>14</v>
      </c>
      <c r="E7">
        <v>29</v>
      </c>
      <c r="F7">
        <v>3619</v>
      </c>
      <c r="G7">
        <v>16</v>
      </c>
      <c r="H7">
        <v>104951</v>
      </c>
      <c r="I7">
        <v>2024</v>
      </c>
      <c r="J7">
        <v>3</v>
      </c>
      <c r="K7">
        <v>1</v>
      </c>
      <c r="L7">
        <v>3</v>
      </c>
      <c r="M7">
        <v>74</v>
      </c>
    </row>
    <row r="8" spans="1:13" x14ac:dyDescent="0.35">
      <c r="A8" s="6">
        <v>45300</v>
      </c>
      <c r="B8" t="s">
        <v>37</v>
      </c>
      <c r="C8" t="s">
        <v>41</v>
      </c>
      <c r="D8" t="s">
        <v>9</v>
      </c>
      <c r="E8">
        <v>23</v>
      </c>
      <c r="F8">
        <v>8589</v>
      </c>
      <c r="G8">
        <v>5</v>
      </c>
      <c r="H8">
        <v>187670</v>
      </c>
      <c r="I8">
        <v>2024</v>
      </c>
      <c r="J8">
        <v>1</v>
      </c>
      <c r="K8">
        <v>1</v>
      </c>
      <c r="L8">
        <v>2</v>
      </c>
      <c r="M8">
        <v>9</v>
      </c>
    </row>
    <row r="9" spans="1:13" x14ac:dyDescent="0.35">
      <c r="A9" s="6">
        <v>45321</v>
      </c>
      <c r="B9" t="s">
        <v>43</v>
      </c>
      <c r="C9" t="s">
        <v>11</v>
      </c>
      <c r="D9" t="s">
        <v>23</v>
      </c>
      <c r="E9">
        <v>2</v>
      </c>
      <c r="F9">
        <v>49988</v>
      </c>
      <c r="G9">
        <v>10</v>
      </c>
      <c r="H9">
        <v>89978</v>
      </c>
      <c r="I9">
        <v>2024</v>
      </c>
      <c r="J9">
        <v>1</v>
      </c>
      <c r="K9">
        <v>1</v>
      </c>
      <c r="L9">
        <v>5</v>
      </c>
      <c r="M9">
        <v>30</v>
      </c>
    </row>
    <row r="10" spans="1:13" x14ac:dyDescent="0.35">
      <c r="A10" s="6">
        <v>45311</v>
      </c>
      <c r="B10" t="s">
        <v>58</v>
      </c>
      <c r="C10" t="s">
        <v>25</v>
      </c>
      <c r="D10" t="s">
        <v>42</v>
      </c>
      <c r="E10">
        <v>16</v>
      </c>
      <c r="F10">
        <v>20538</v>
      </c>
      <c r="G10">
        <v>10</v>
      </c>
      <c r="H10">
        <v>443621</v>
      </c>
      <c r="I10">
        <v>2024</v>
      </c>
      <c r="J10">
        <v>1</v>
      </c>
      <c r="K10">
        <v>1</v>
      </c>
      <c r="L10">
        <v>3</v>
      </c>
      <c r="M10">
        <v>20</v>
      </c>
    </row>
    <row r="11" spans="1:13" x14ac:dyDescent="0.35">
      <c r="A11" s="6">
        <v>45330</v>
      </c>
      <c r="B11" t="s">
        <v>22</v>
      </c>
      <c r="C11" t="s">
        <v>13</v>
      </c>
      <c r="D11" t="s">
        <v>23</v>
      </c>
      <c r="E11">
        <v>16</v>
      </c>
      <c r="F11">
        <v>52159</v>
      </c>
      <c r="G11">
        <v>0</v>
      </c>
      <c r="H11">
        <v>834544</v>
      </c>
      <c r="I11">
        <v>2024</v>
      </c>
      <c r="J11">
        <v>2</v>
      </c>
      <c r="K11">
        <v>1</v>
      </c>
      <c r="L11">
        <v>2</v>
      </c>
      <c r="M11">
        <v>39</v>
      </c>
    </row>
    <row r="12" spans="1:13" x14ac:dyDescent="0.35">
      <c r="A12" s="6">
        <v>45382</v>
      </c>
      <c r="B12" t="s">
        <v>24</v>
      </c>
      <c r="C12" t="s">
        <v>25</v>
      </c>
      <c r="D12" t="s">
        <v>9</v>
      </c>
      <c r="E12">
        <v>19</v>
      </c>
      <c r="F12">
        <v>10321</v>
      </c>
      <c r="G12">
        <v>10</v>
      </c>
      <c r="H12">
        <v>176489</v>
      </c>
      <c r="I12">
        <v>2024</v>
      </c>
      <c r="J12">
        <v>3</v>
      </c>
      <c r="K12">
        <v>1</v>
      </c>
      <c r="L12">
        <v>6</v>
      </c>
      <c r="M12">
        <v>91</v>
      </c>
    </row>
    <row r="13" spans="1:13" x14ac:dyDescent="0.35">
      <c r="A13" s="6">
        <v>45302</v>
      </c>
      <c r="B13" t="s">
        <v>26</v>
      </c>
      <c r="C13" t="s">
        <v>25</v>
      </c>
      <c r="D13" t="s">
        <v>17</v>
      </c>
      <c r="E13">
        <v>7</v>
      </c>
      <c r="F13">
        <v>6405</v>
      </c>
      <c r="G13">
        <v>16</v>
      </c>
      <c r="H13">
        <v>44835</v>
      </c>
      <c r="I13">
        <v>2024</v>
      </c>
      <c r="J13">
        <v>1</v>
      </c>
      <c r="K13">
        <v>1</v>
      </c>
      <c r="L13">
        <v>2</v>
      </c>
      <c r="M13">
        <v>11</v>
      </c>
    </row>
    <row r="14" spans="1:13" x14ac:dyDescent="0.35">
      <c r="A14" s="6">
        <v>45298</v>
      </c>
      <c r="B14" t="s">
        <v>51</v>
      </c>
      <c r="C14" t="s">
        <v>16</v>
      </c>
      <c r="D14" t="s">
        <v>23</v>
      </c>
      <c r="E14">
        <v>6</v>
      </c>
      <c r="F14">
        <v>49740</v>
      </c>
      <c r="G14">
        <v>10</v>
      </c>
      <c r="H14">
        <v>268596</v>
      </c>
      <c r="I14">
        <v>2024</v>
      </c>
      <c r="J14">
        <v>1</v>
      </c>
      <c r="K14">
        <v>1</v>
      </c>
      <c r="L14">
        <v>2</v>
      </c>
      <c r="M14">
        <v>7</v>
      </c>
    </row>
    <row r="15" spans="1:13" x14ac:dyDescent="0.35">
      <c r="A15" s="6">
        <v>45367</v>
      </c>
      <c r="B15" t="s">
        <v>27</v>
      </c>
      <c r="C15" t="s">
        <v>20</v>
      </c>
      <c r="D15" t="s">
        <v>17</v>
      </c>
      <c r="E15">
        <v>29</v>
      </c>
      <c r="F15">
        <v>5188</v>
      </c>
      <c r="G15">
        <v>15</v>
      </c>
      <c r="H15">
        <v>127884</v>
      </c>
      <c r="I15">
        <v>2024</v>
      </c>
      <c r="J15">
        <v>3</v>
      </c>
      <c r="K15">
        <v>1</v>
      </c>
      <c r="L15">
        <v>3</v>
      </c>
      <c r="M15">
        <v>76</v>
      </c>
    </row>
    <row r="16" spans="1:13" x14ac:dyDescent="0.35">
      <c r="A16" s="6">
        <v>45318</v>
      </c>
      <c r="B16" t="s">
        <v>24</v>
      </c>
      <c r="C16" t="s">
        <v>34</v>
      </c>
      <c r="D16" t="s">
        <v>53</v>
      </c>
      <c r="E16">
        <v>5</v>
      </c>
      <c r="F16">
        <v>1808</v>
      </c>
      <c r="G16">
        <v>16</v>
      </c>
      <c r="H16">
        <v>9040</v>
      </c>
      <c r="I16">
        <v>2024</v>
      </c>
      <c r="J16">
        <v>1</v>
      </c>
      <c r="K16">
        <v>1</v>
      </c>
      <c r="L16">
        <v>4</v>
      </c>
      <c r="M16">
        <v>27</v>
      </c>
    </row>
    <row r="17" spans="1:13" x14ac:dyDescent="0.35">
      <c r="A17" s="6">
        <v>45310</v>
      </c>
      <c r="B17" t="s">
        <v>10</v>
      </c>
      <c r="C17" t="s">
        <v>40</v>
      </c>
      <c r="D17" t="s">
        <v>53</v>
      </c>
      <c r="E17">
        <v>12</v>
      </c>
      <c r="F17">
        <v>3568</v>
      </c>
      <c r="G17">
        <v>15</v>
      </c>
      <c r="H17">
        <v>36394</v>
      </c>
      <c r="I17">
        <v>2024</v>
      </c>
      <c r="J17">
        <v>1</v>
      </c>
      <c r="K17">
        <v>1</v>
      </c>
      <c r="L17">
        <v>3</v>
      </c>
      <c r="M17">
        <v>19</v>
      </c>
    </row>
    <row r="18" spans="1:13" x14ac:dyDescent="0.35">
      <c r="A18" s="6">
        <v>45313</v>
      </c>
      <c r="B18" t="s">
        <v>47</v>
      </c>
      <c r="C18" t="s">
        <v>20</v>
      </c>
      <c r="D18" t="s">
        <v>42</v>
      </c>
      <c r="E18">
        <v>6</v>
      </c>
      <c r="F18">
        <v>20049</v>
      </c>
      <c r="G18">
        <v>5</v>
      </c>
      <c r="H18">
        <v>114279</v>
      </c>
      <c r="I18">
        <v>2024</v>
      </c>
      <c r="J18">
        <v>1</v>
      </c>
      <c r="K18">
        <v>1</v>
      </c>
      <c r="L18">
        <v>4</v>
      </c>
      <c r="M18">
        <v>22</v>
      </c>
    </row>
    <row r="19" spans="1:13" x14ac:dyDescent="0.35">
      <c r="A19" s="6">
        <v>45301</v>
      </c>
      <c r="B19" t="s">
        <v>22</v>
      </c>
      <c r="C19" t="s">
        <v>41</v>
      </c>
      <c r="D19" t="s">
        <v>32</v>
      </c>
      <c r="E19">
        <v>16</v>
      </c>
      <c r="F19">
        <v>5560</v>
      </c>
      <c r="G19">
        <v>5</v>
      </c>
      <c r="H19">
        <v>137332</v>
      </c>
      <c r="I19">
        <v>2024</v>
      </c>
      <c r="J19">
        <v>1</v>
      </c>
      <c r="K19">
        <v>1</v>
      </c>
      <c r="L19">
        <v>2</v>
      </c>
      <c r="M19">
        <v>10</v>
      </c>
    </row>
    <row r="20" spans="1:13" x14ac:dyDescent="0.35">
      <c r="A20" s="6">
        <v>45319</v>
      </c>
      <c r="B20" t="s">
        <v>48</v>
      </c>
      <c r="C20" t="s">
        <v>13</v>
      </c>
      <c r="D20" t="s">
        <v>38</v>
      </c>
      <c r="E20">
        <v>4</v>
      </c>
      <c r="F20">
        <v>24662</v>
      </c>
      <c r="G20">
        <v>10</v>
      </c>
      <c r="H20">
        <v>88783</v>
      </c>
      <c r="I20">
        <v>2024</v>
      </c>
      <c r="J20">
        <v>1</v>
      </c>
      <c r="K20">
        <v>1</v>
      </c>
      <c r="L20">
        <v>5</v>
      </c>
      <c r="M20">
        <v>28</v>
      </c>
    </row>
    <row r="21" spans="1:13" x14ac:dyDescent="0.35">
      <c r="A21" s="6">
        <v>45310</v>
      </c>
      <c r="B21" t="s">
        <v>37</v>
      </c>
      <c r="C21" t="s">
        <v>34</v>
      </c>
      <c r="D21" t="s">
        <v>30</v>
      </c>
      <c r="E21">
        <v>4</v>
      </c>
      <c r="F21">
        <v>416</v>
      </c>
      <c r="G21">
        <v>5</v>
      </c>
      <c r="H21">
        <v>1581</v>
      </c>
      <c r="I21">
        <v>2024</v>
      </c>
      <c r="J21">
        <v>1</v>
      </c>
      <c r="K21">
        <v>1</v>
      </c>
      <c r="L21">
        <v>3</v>
      </c>
      <c r="M21">
        <v>19</v>
      </c>
    </row>
    <row r="22" spans="1:13" x14ac:dyDescent="0.35">
      <c r="A22" s="6">
        <v>45345</v>
      </c>
      <c r="B22" t="s">
        <v>47</v>
      </c>
      <c r="C22" t="s">
        <v>41</v>
      </c>
      <c r="D22" t="s">
        <v>19</v>
      </c>
      <c r="E22">
        <v>11</v>
      </c>
      <c r="F22">
        <v>9683</v>
      </c>
      <c r="G22">
        <v>0</v>
      </c>
      <c r="H22">
        <v>106513</v>
      </c>
      <c r="I22">
        <v>2024</v>
      </c>
      <c r="J22">
        <v>2</v>
      </c>
      <c r="K22">
        <v>1</v>
      </c>
      <c r="L22">
        <v>4</v>
      </c>
      <c r="M22">
        <v>54</v>
      </c>
    </row>
    <row r="23" spans="1:13" x14ac:dyDescent="0.35">
      <c r="A23" s="6">
        <v>45348</v>
      </c>
      <c r="B23" t="s">
        <v>39</v>
      </c>
      <c r="C23" t="s">
        <v>40</v>
      </c>
      <c r="D23" t="s">
        <v>32</v>
      </c>
      <c r="E23">
        <v>10</v>
      </c>
      <c r="F23">
        <v>4693</v>
      </c>
      <c r="G23">
        <v>0</v>
      </c>
      <c r="H23">
        <v>46930</v>
      </c>
      <c r="I23">
        <v>2024</v>
      </c>
      <c r="J23">
        <v>2</v>
      </c>
      <c r="K23">
        <v>1</v>
      </c>
      <c r="L23">
        <v>5</v>
      </c>
      <c r="M23">
        <v>57</v>
      </c>
    </row>
    <row r="24" spans="1:13" x14ac:dyDescent="0.35">
      <c r="A24" s="6">
        <v>45336</v>
      </c>
      <c r="B24" t="s">
        <v>39</v>
      </c>
      <c r="C24" t="s">
        <v>41</v>
      </c>
      <c r="D24" t="s">
        <v>42</v>
      </c>
      <c r="E24">
        <v>12</v>
      </c>
      <c r="F24">
        <v>20551</v>
      </c>
      <c r="G24">
        <v>10</v>
      </c>
      <c r="H24">
        <v>221951</v>
      </c>
      <c r="I24">
        <v>2024</v>
      </c>
      <c r="J24">
        <v>2</v>
      </c>
      <c r="K24">
        <v>1</v>
      </c>
      <c r="L24">
        <v>3</v>
      </c>
      <c r="M24">
        <v>45</v>
      </c>
    </row>
    <row r="25" spans="1:13" x14ac:dyDescent="0.35">
      <c r="A25" s="6">
        <v>45320</v>
      </c>
      <c r="B25" t="s">
        <v>57</v>
      </c>
      <c r="C25" t="s">
        <v>36</v>
      </c>
      <c r="D25" t="s">
        <v>23</v>
      </c>
      <c r="E25">
        <v>1</v>
      </c>
      <c r="F25">
        <v>48368</v>
      </c>
      <c r="G25">
        <v>15</v>
      </c>
      <c r="H25">
        <v>41113</v>
      </c>
      <c r="I25">
        <v>2024</v>
      </c>
      <c r="J25">
        <v>1</v>
      </c>
      <c r="K25">
        <v>1</v>
      </c>
      <c r="L25">
        <v>5</v>
      </c>
      <c r="M25">
        <v>29</v>
      </c>
    </row>
    <row r="26" spans="1:13" x14ac:dyDescent="0.35">
      <c r="A26" s="6">
        <v>45296</v>
      </c>
      <c r="B26" t="s">
        <v>12</v>
      </c>
      <c r="C26" t="s">
        <v>20</v>
      </c>
      <c r="D26" t="s">
        <v>32</v>
      </c>
      <c r="E26">
        <v>23</v>
      </c>
      <c r="F26">
        <v>4890</v>
      </c>
      <c r="G26">
        <v>16</v>
      </c>
      <c r="H26">
        <v>112470</v>
      </c>
      <c r="I26">
        <v>2024</v>
      </c>
      <c r="J26">
        <v>1</v>
      </c>
      <c r="K26">
        <v>1</v>
      </c>
      <c r="L26">
        <v>1</v>
      </c>
      <c r="M26">
        <v>5</v>
      </c>
    </row>
    <row r="27" spans="1:13" x14ac:dyDescent="0.35">
      <c r="A27" s="6">
        <v>45321</v>
      </c>
      <c r="B27" t="s">
        <v>51</v>
      </c>
      <c r="C27" t="s">
        <v>13</v>
      </c>
      <c r="D27" t="s">
        <v>53</v>
      </c>
      <c r="E27">
        <v>16</v>
      </c>
      <c r="F27">
        <v>5091</v>
      </c>
      <c r="G27">
        <v>15</v>
      </c>
      <c r="H27">
        <v>18656</v>
      </c>
      <c r="I27">
        <v>2024</v>
      </c>
      <c r="J27">
        <v>1</v>
      </c>
      <c r="K27">
        <v>1</v>
      </c>
      <c r="L27">
        <v>5</v>
      </c>
      <c r="M27">
        <v>30</v>
      </c>
    </row>
    <row r="28" spans="1:13" x14ac:dyDescent="0.35">
      <c r="A28" s="6">
        <v>45363</v>
      </c>
      <c r="B28" t="s">
        <v>54</v>
      </c>
      <c r="C28" t="s">
        <v>41</v>
      </c>
      <c r="D28" t="s">
        <v>9</v>
      </c>
      <c r="E28">
        <v>27</v>
      </c>
      <c r="F28">
        <v>8713</v>
      </c>
      <c r="G28">
        <v>5</v>
      </c>
      <c r="H28">
        <v>223488</v>
      </c>
      <c r="I28">
        <v>2024</v>
      </c>
      <c r="J28">
        <v>3</v>
      </c>
      <c r="K28">
        <v>1</v>
      </c>
      <c r="L28">
        <v>3</v>
      </c>
      <c r="M28">
        <v>72</v>
      </c>
    </row>
    <row r="29" spans="1:13" x14ac:dyDescent="0.35">
      <c r="A29" s="6">
        <v>45372</v>
      </c>
      <c r="B29" t="s">
        <v>37</v>
      </c>
      <c r="C29" t="s">
        <v>20</v>
      </c>
      <c r="D29" t="s">
        <v>30</v>
      </c>
      <c r="E29">
        <v>3</v>
      </c>
      <c r="F29">
        <v>2840</v>
      </c>
      <c r="G29">
        <v>0</v>
      </c>
      <c r="H29">
        <v>8520</v>
      </c>
      <c r="I29">
        <v>2024</v>
      </c>
      <c r="J29">
        <v>3</v>
      </c>
      <c r="K29">
        <v>1</v>
      </c>
      <c r="L29">
        <v>4</v>
      </c>
      <c r="M29">
        <v>81</v>
      </c>
    </row>
    <row r="30" spans="1:13" x14ac:dyDescent="0.35">
      <c r="A30" s="6">
        <v>45303</v>
      </c>
      <c r="B30" t="s">
        <v>46</v>
      </c>
      <c r="C30" t="s">
        <v>25</v>
      </c>
      <c r="D30" t="s">
        <v>30</v>
      </c>
      <c r="E30">
        <v>3</v>
      </c>
      <c r="F30">
        <v>2830</v>
      </c>
      <c r="G30">
        <v>0</v>
      </c>
      <c r="H30">
        <v>8490</v>
      </c>
      <c r="I30">
        <v>2024</v>
      </c>
      <c r="J30">
        <v>1</v>
      </c>
      <c r="K30">
        <v>1</v>
      </c>
      <c r="L30">
        <v>2</v>
      </c>
      <c r="M30">
        <v>12</v>
      </c>
    </row>
    <row r="31" spans="1:13" x14ac:dyDescent="0.35">
      <c r="A31" s="6">
        <v>45318</v>
      </c>
      <c r="B31" t="s">
        <v>12</v>
      </c>
      <c r="C31" t="s">
        <v>41</v>
      </c>
      <c r="D31" t="s">
        <v>53</v>
      </c>
      <c r="E31">
        <v>24</v>
      </c>
      <c r="F31">
        <v>430</v>
      </c>
      <c r="G31">
        <v>20</v>
      </c>
      <c r="H31">
        <v>8256</v>
      </c>
      <c r="I31">
        <v>2024</v>
      </c>
      <c r="J31">
        <v>1</v>
      </c>
      <c r="K31">
        <v>1</v>
      </c>
      <c r="L31">
        <v>4</v>
      </c>
      <c r="M31">
        <v>27</v>
      </c>
    </row>
    <row r="32" spans="1:13" x14ac:dyDescent="0.35">
      <c r="A32" s="6">
        <v>45294</v>
      </c>
      <c r="B32" t="s">
        <v>43</v>
      </c>
      <c r="C32" t="s">
        <v>20</v>
      </c>
      <c r="D32" t="s">
        <v>23</v>
      </c>
      <c r="E32">
        <v>28</v>
      </c>
      <c r="F32">
        <v>48353</v>
      </c>
      <c r="G32">
        <v>0</v>
      </c>
      <c r="H32">
        <v>1353884</v>
      </c>
      <c r="I32">
        <v>2024</v>
      </c>
      <c r="J32">
        <v>1</v>
      </c>
      <c r="K32">
        <v>1</v>
      </c>
      <c r="L32">
        <v>1</v>
      </c>
      <c r="M32">
        <v>3</v>
      </c>
    </row>
    <row r="33" spans="1:13" x14ac:dyDescent="0.35">
      <c r="A33" s="6">
        <v>45349</v>
      </c>
      <c r="B33" t="s">
        <v>29</v>
      </c>
      <c r="C33" t="s">
        <v>25</v>
      </c>
      <c r="D33" t="s">
        <v>14</v>
      </c>
      <c r="E33">
        <v>18</v>
      </c>
      <c r="F33">
        <v>3115</v>
      </c>
      <c r="G33">
        <v>5</v>
      </c>
      <c r="H33">
        <v>53266</v>
      </c>
      <c r="I33">
        <v>2024</v>
      </c>
      <c r="J33">
        <v>2</v>
      </c>
      <c r="K33">
        <v>1</v>
      </c>
      <c r="L33">
        <v>5</v>
      </c>
      <c r="M33">
        <v>58</v>
      </c>
    </row>
    <row r="34" spans="1:13" x14ac:dyDescent="0.35">
      <c r="A34" s="6">
        <v>45373</v>
      </c>
      <c r="B34" t="s">
        <v>39</v>
      </c>
      <c r="C34" t="s">
        <v>25</v>
      </c>
      <c r="D34" t="s">
        <v>53</v>
      </c>
      <c r="E34">
        <v>23</v>
      </c>
      <c r="F34">
        <v>44</v>
      </c>
      <c r="G34">
        <v>10</v>
      </c>
      <c r="H34">
        <v>911</v>
      </c>
      <c r="I34">
        <v>2024</v>
      </c>
      <c r="J34">
        <v>3</v>
      </c>
      <c r="K34">
        <v>1</v>
      </c>
      <c r="L34">
        <v>4</v>
      </c>
      <c r="M34">
        <v>82</v>
      </c>
    </row>
    <row r="35" spans="1:13" x14ac:dyDescent="0.35">
      <c r="A35" s="6">
        <v>45382</v>
      </c>
      <c r="B35" t="s">
        <v>24</v>
      </c>
      <c r="C35" t="s">
        <v>41</v>
      </c>
      <c r="D35" t="s">
        <v>28</v>
      </c>
      <c r="E35">
        <v>30</v>
      </c>
      <c r="F35">
        <v>5932</v>
      </c>
      <c r="G35">
        <v>16</v>
      </c>
      <c r="H35">
        <v>177960</v>
      </c>
      <c r="I35">
        <v>2024</v>
      </c>
      <c r="J35">
        <v>3</v>
      </c>
      <c r="K35">
        <v>1</v>
      </c>
      <c r="L35">
        <v>6</v>
      </c>
      <c r="M35">
        <v>91</v>
      </c>
    </row>
    <row r="36" spans="1:13" x14ac:dyDescent="0.35">
      <c r="A36" s="6">
        <v>45319</v>
      </c>
      <c r="B36" t="s">
        <v>56</v>
      </c>
      <c r="C36" t="s">
        <v>20</v>
      </c>
      <c r="D36" t="s">
        <v>14</v>
      </c>
      <c r="E36">
        <v>6</v>
      </c>
      <c r="F36">
        <v>3643</v>
      </c>
      <c r="G36">
        <v>20</v>
      </c>
      <c r="H36">
        <v>17486</v>
      </c>
      <c r="I36">
        <v>2024</v>
      </c>
      <c r="J36">
        <v>1</v>
      </c>
      <c r="K36">
        <v>1</v>
      </c>
      <c r="L36">
        <v>5</v>
      </c>
      <c r="M36">
        <v>28</v>
      </c>
    </row>
    <row r="37" spans="1:13" x14ac:dyDescent="0.35">
      <c r="A37" s="6">
        <v>45339</v>
      </c>
      <c r="B37" t="s">
        <v>26</v>
      </c>
      <c r="C37" t="s">
        <v>16</v>
      </c>
      <c r="D37" t="s">
        <v>17</v>
      </c>
      <c r="E37">
        <v>13</v>
      </c>
      <c r="F37">
        <v>4302</v>
      </c>
      <c r="G37">
        <v>20</v>
      </c>
      <c r="H37">
        <v>44741</v>
      </c>
      <c r="I37">
        <v>2024</v>
      </c>
      <c r="J37">
        <v>2</v>
      </c>
      <c r="K37">
        <v>1</v>
      </c>
      <c r="L37">
        <v>3</v>
      </c>
      <c r="M37">
        <v>48</v>
      </c>
    </row>
    <row r="38" spans="1:13" x14ac:dyDescent="0.35">
      <c r="A38" s="6">
        <v>45364</v>
      </c>
      <c r="B38" t="s">
        <v>27</v>
      </c>
      <c r="C38" t="s">
        <v>20</v>
      </c>
      <c r="D38" t="s">
        <v>17</v>
      </c>
      <c r="E38">
        <v>15</v>
      </c>
      <c r="F38">
        <v>5441</v>
      </c>
      <c r="G38">
        <v>5</v>
      </c>
      <c r="H38">
        <v>77534</v>
      </c>
      <c r="I38">
        <v>2024</v>
      </c>
      <c r="J38">
        <v>3</v>
      </c>
      <c r="K38">
        <v>1</v>
      </c>
      <c r="L38">
        <v>3</v>
      </c>
      <c r="M38">
        <v>73</v>
      </c>
    </row>
    <row r="39" spans="1:13" x14ac:dyDescent="0.35">
      <c r="A39" s="6">
        <v>45296</v>
      </c>
      <c r="B39" t="s">
        <v>47</v>
      </c>
      <c r="C39" t="s">
        <v>20</v>
      </c>
      <c r="D39" t="s">
        <v>42</v>
      </c>
      <c r="E39">
        <v>26</v>
      </c>
      <c r="F39">
        <v>22320</v>
      </c>
      <c r="G39">
        <v>0</v>
      </c>
      <c r="H39">
        <v>580320</v>
      </c>
      <c r="I39">
        <v>2024</v>
      </c>
      <c r="J39">
        <v>1</v>
      </c>
      <c r="K39">
        <v>1</v>
      </c>
      <c r="L39">
        <v>1</v>
      </c>
      <c r="M39">
        <v>5</v>
      </c>
    </row>
    <row r="40" spans="1:13" x14ac:dyDescent="0.35">
      <c r="A40" s="6">
        <v>45370</v>
      </c>
      <c r="B40" t="s">
        <v>18</v>
      </c>
      <c r="C40" t="s">
        <v>89</v>
      </c>
      <c r="D40" t="s">
        <v>21</v>
      </c>
      <c r="E40">
        <v>16</v>
      </c>
      <c r="F40">
        <v>3431</v>
      </c>
      <c r="G40">
        <v>5</v>
      </c>
      <c r="H40">
        <v>48892</v>
      </c>
      <c r="I40">
        <v>2024</v>
      </c>
      <c r="J40">
        <v>3</v>
      </c>
      <c r="K40">
        <v>1</v>
      </c>
      <c r="L40">
        <v>4</v>
      </c>
      <c r="M40">
        <v>79</v>
      </c>
    </row>
    <row r="41" spans="1:13" x14ac:dyDescent="0.35">
      <c r="A41" s="6">
        <v>45329</v>
      </c>
      <c r="B41" t="s">
        <v>55</v>
      </c>
      <c r="C41" t="s">
        <v>36</v>
      </c>
      <c r="D41" t="s">
        <v>53</v>
      </c>
      <c r="E41">
        <v>24</v>
      </c>
      <c r="F41">
        <v>3205</v>
      </c>
      <c r="G41">
        <v>0</v>
      </c>
      <c r="H41">
        <v>76920</v>
      </c>
      <c r="I41">
        <v>2024</v>
      </c>
      <c r="J41">
        <v>2</v>
      </c>
      <c r="K41">
        <v>1</v>
      </c>
      <c r="L41">
        <v>2</v>
      </c>
      <c r="M41">
        <v>38</v>
      </c>
    </row>
    <row r="42" spans="1:13" x14ac:dyDescent="0.35">
      <c r="A42" s="6">
        <v>45351</v>
      </c>
      <c r="B42" t="s">
        <v>39</v>
      </c>
      <c r="C42" t="s">
        <v>25</v>
      </c>
      <c r="D42" t="s">
        <v>28</v>
      </c>
      <c r="E42">
        <v>15</v>
      </c>
      <c r="F42">
        <v>5056</v>
      </c>
      <c r="G42">
        <v>10</v>
      </c>
      <c r="H42">
        <v>68256</v>
      </c>
      <c r="I42">
        <v>2024</v>
      </c>
      <c r="J42">
        <v>2</v>
      </c>
      <c r="K42">
        <v>1</v>
      </c>
      <c r="L42">
        <v>5</v>
      </c>
      <c r="M42">
        <v>60</v>
      </c>
    </row>
    <row r="43" spans="1:13" x14ac:dyDescent="0.35">
      <c r="A43" s="6">
        <v>45358</v>
      </c>
      <c r="B43" t="s">
        <v>44</v>
      </c>
      <c r="C43" t="s">
        <v>20</v>
      </c>
      <c r="D43" t="s">
        <v>17</v>
      </c>
      <c r="E43">
        <v>8</v>
      </c>
      <c r="F43">
        <v>5091</v>
      </c>
      <c r="G43">
        <v>0</v>
      </c>
      <c r="H43">
        <v>51976</v>
      </c>
      <c r="I43">
        <v>2024</v>
      </c>
      <c r="J43">
        <v>3</v>
      </c>
      <c r="K43">
        <v>1</v>
      </c>
      <c r="L43">
        <v>2</v>
      </c>
      <c r="M43">
        <v>67</v>
      </c>
    </row>
    <row r="44" spans="1:13" x14ac:dyDescent="0.35">
      <c r="A44" s="6">
        <v>45348</v>
      </c>
      <c r="B44" t="s">
        <v>33</v>
      </c>
      <c r="C44" t="s">
        <v>36</v>
      </c>
      <c r="D44" t="s">
        <v>38</v>
      </c>
      <c r="E44">
        <v>19</v>
      </c>
      <c r="F44">
        <v>27349</v>
      </c>
      <c r="G44">
        <v>10</v>
      </c>
      <c r="H44">
        <v>467668</v>
      </c>
      <c r="I44">
        <v>2024</v>
      </c>
      <c r="J44">
        <v>2</v>
      </c>
      <c r="K44">
        <v>1</v>
      </c>
      <c r="L44">
        <v>5</v>
      </c>
      <c r="M44">
        <v>57</v>
      </c>
    </row>
    <row r="45" spans="1:13" x14ac:dyDescent="0.35">
      <c r="A45" s="6">
        <v>45341</v>
      </c>
      <c r="B45" t="s">
        <v>50</v>
      </c>
      <c r="C45" t="s">
        <v>13</v>
      </c>
      <c r="D45" t="s">
        <v>23</v>
      </c>
      <c r="E45">
        <v>11</v>
      </c>
      <c r="F45">
        <v>47234</v>
      </c>
      <c r="G45">
        <v>10</v>
      </c>
      <c r="H45">
        <v>467617</v>
      </c>
      <c r="I45">
        <v>2024</v>
      </c>
      <c r="J45">
        <v>2</v>
      </c>
      <c r="K45">
        <v>1</v>
      </c>
      <c r="L45">
        <v>4</v>
      </c>
      <c r="M45">
        <v>50</v>
      </c>
    </row>
    <row r="46" spans="1:13" x14ac:dyDescent="0.35">
      <c r="A46" s="6">
        <v>45376</v>
      </c>
      <c r="B46" t="s">
        <v>48</v>
      </c>
      <c r="C46" t="s">
        <v>41</v>
      </c>
      <c r="D46" t="s">
        <v>14</v>
      </c>
      <c r="E46">
        <v>26</v>
      </c>
      <c r="F46">
        <v>2189</v>
      </c>
      <c r="G46">
        <v>0</v>
      </c>
      <c r="H46">
        <v>56914</v>
      </c>
      <c r="I46">
        <v>2024</v>
      </c>
      <c r="J46">
        <v>3</v>
      </c>
      <c r="K46">
        <v>1</v>
      </c>
      <c r="L46">
        <v>5</v>
      </c>
      <c r="M46">
        <v>85</v>
      </c>
    </row>
    <row r="47" spans="1:13" x14ac:dyDescent="0.35">
      <c r="A47" s="6">
        <v>45313</v>
      </c>
      <c r="B47" t="s">
        <v>37</v>
      </c>
      <c r="C47" t="s">
        <v>25</v>
      </c>
      <c r="D47" t="s">
        <v>19</v>
      </c>
      <c r="E47">
        <v>30</v>
      </c>
      <c r="F47">
        <v>11376</v>
      </c>
      <c r="G47">
        <v>16</v>
      </c>
      <c r="H47">
        <v>341280</v>
      </c>
      <c r="I47">
        <v>2024</v>
      </c>
      <c r="J47">
        <v>1</v>
      </c>
      <c r="K47">
        <v>1</v>
      </c>
      <c r="L47">
        <v>4</v>
      </c>
      <c r="M47">
        <v>22</v>
      </c>
    </row>
    <row r="48" spans="1:13" x14ac:dyDescent="0.35">
      <c r="A48" s="6">
        <v>45305</v>
      </c>
      <c r="B48" t="s">
        <v>89</v>
      </c>
      <c r="C48" t="s">
        <v>16</v>
      </c>
      <c r="D48" t="s">
        <v>19</v>
      </c>
      <c r="E48">
        <v>14</v>
      </c>
      <c r="F48">
        <v>10912</v>
      </c>
      <c r="G48">
        <v>5</v>
      </c>
      <c r="H48">
        <v>145130</v>
      </c>
      <c r="I48">
        <v>2024</v>
      </c>
      <c r="J48">
        <v>1</v>
      </c>
      <c r="K48">
        <v>1</v>
      </c>
      <c r="L48">
        <v>3</v>
      </c>
      <c r="M48">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73FE-5CAF-4D08-97FD-D0F580041158}">
  <dimension ref="A1"/>
  <sheetViews>
    <sheetView showGridLines="0" tabSelected="1" zoomScale="98" zoomScaleNormal="98" workbookViewId="0">
      <selection activeCell="U16" sqref="U1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FF43D-CA36-42E2-B170-97456FE6E558}">
  <dimension ref="A1"/>
  <sheetViews>
    <sheetView workbookViewId="0">
      <selection activeCell="E21" sqref="E21"/>
    </sheetView>
  </sheetViews>
  <sheetFormatPr defaultRowHeight="14.5" x14ac:dyDescent="0.3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51CCB5-8950-4D71-95E2-37156068DD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Original Data</vt:lpstr>
      <vt:lpstr>Sales Data</vt:lpstr>
      <vt:lpstr>Detail1</vt:lpstr>
      <vt:lpstr>Detail3</vt:lpstr>
      <vt:lpstr>Sheet4</vt:lpstr>
      <vt:lpstr>Cleaned Data</vt:lpstr>
      <vt:lpstr>Detail2</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Sneha Devare</cp:lastModifiedBy>
  <dcterms:created xsi:type="dcterms:W3CDTF">2025-12-02T11:14:06Z</dcterms:created>
  <dcterms:modified xsi:type="dcterms:W3CDTF">2026-01-16T16:42:48Z</dcterms:modified>
</cp:coreProperties>
</file>